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nxa21436\Downloads\MCXA18 spreadsheet_Nov11\"/>
    </mc:Choice>
  </mc:AlternateContent>
  <xr:revisionPtr revIDLastSave="0" documentId="13_ncr:1_{E8A60157-1E4D-4D07-A68D-A91ACCD3F64D}" xr6:coauthVersionLast="47" xr6:coauthVersionMax="47" xr10:uidLastSave="{00000000-0000-0000-0000-000000000000}"/>
  <bookViews>
    <workbookView xWindow="-110" yWindow="-110" windowWidth="19420" windowHeight="10420" tabRatio="500" xr2:uid="{00000000-000D-0000-FFFF-FFFF00000000}"/>
  </bookViews>
  <sheets>
    <sheet name="Flash layout" sheetId="3" r:id="rId1"/>
    <sheet name="IFR0" sheetId="6" r:id="rId2"/>
    <sheet name="IFR1"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0" i="6" l="1"/>
  <c r="B34" i="6" s="1"/>
  <c r="B38" i="6" s="1"/>
  <c r="B42" i="6" s="1"/>
  <c r="B46" i="6" s="1"/>
  <c r="B50" i="6" s="1"/>
  <c r="B10" i="6"/>
  <c r="B14" i="6" s="1"/>
  <c r="B18" i="6" s="1"/>
  <c r="B22" i="6" s="1"/>
  <c r="B26" i="6" s="1"/>
  <c r="C7" i="6"/>
  <c r="C8" i="6" s="1"/>
  <c r="C9" i="6" s="1"/>
  <c r="C10" i="6" s="1"/>
  <c r="C11" i="6" s="1"/>
  <c r="C12" i="6" s="1"/>
  <c r="C13" i="6" s="1"/>
  <c r="C14" i="6" s="1"/>
  <c r="C15" i="6" s="1"/>
  <c r="C16" i="6" s="1"/>
  <c r="C17" i="6" s="1"/>
  <c r="C18" i="6" s="1"/>
  <c r="C19" i="6" s="1"/>
  <c r="C20" i="6" s="1"/>
  <c r="C21" i="6" s="1"/>
  <c r="C22" i="6" s="1"/>
  <c r="C23" i="6" s="1"/>
  <c r="C24" i="6" s="1"/>
  <c r="C25" i="6" s="1"/>
  <c r="C26" i="6" s="1"/>
  <c r="C27" i="6" s="1"/>
  <c r="C28" i="6" s="1"/>
  <c r="C29" i="6" s="1"/>
  <c r="C30" i="6" s="1"/>
  <c r="C31" i="6" s="1"/>
  <c r="C32" i="6" s="1"/>
  <c r="C33" i="6" s="1"/>
  <c r="C34" i="6" s="1"/>
  <c r="C35" i="6" s="1"/>
  <c r="C36" i="6" s="1"/>
  <c r="C37" i="6" s="1"/>
  <c r="C38" i="6" s="1"/>
  <c r="C39" i="6" s="1"/>
  <c r="C40" i="6" s="1"/>
  <c r="C41" i="6" s="1"/>
  <c r="C42" i="6" s="1"/>
  <c r="C43" i="6" s="1"/>
  <c r="C44" i="6" s="1"/>
  <c r="C45" i="6" s="1"/>
  <c r="C46" i="6" s="1"/>
  <c r="C47" i="6" s="1"/>
  <c r="C48" i="6" s="1"/>
  <c r="C49" i="6" s="1"/>
  <c r="C50" i="6" s="1"/>
  <c r="C51" i="6" s="1"/>
  <c r="C52" i="6" s="1"/>
  <c r="C53" i="6" s="1"/>
  <c r="C6" i="6"/>
  <c r="F4" i="6"/>
  <c r="G4" i="6" s="1"/>
  <c r="H4" i="6" s="1"/>
  <c r="I4" i="6" s="1"/>
  <c r="J4" i="6" s="1"/>
  <c r="K4" i="6" s="1"/>
  <c r="L4" i="6" s="1"/>
  <c r="M4" i="6" s="1"/>
  <c r="N4" i="6" s="1"/>
  <c r="O4" i="6" s="1"/>
  <c r="P4" i="6" s="1"/>
  <c r="Q4" i="6" s="1"/>
  <c r="R4" i="6" s="1"/>
  <c r="S4" i="6" s="1"/>
  <c r="T4" i="6" s="1"/>
  <c r="U4" i="6" s="1"/>
  <c r="V4" i="6" s="1"/>
  <c r="W4" i="6" s="1"/>
  <c r="X4" i="6" s="1"/>
  <c r="Y4" i="6" s="1"/>
  <c r="Z4" i="6" s="1"/>
  <c r="AA4" i="6" s="1"/>
  <c r="AB4" i="6" s="1"/>
  <c r="AC4" i="6" s="1"/>
  <c r="AD4" i="6" s="1"/>
  <c r="AE4" i="6" s="1"/>
  <c r="AF4" i="6" s="1"/>
  <c r="AG4" i="6" s="1"/>
  <c r="AH4" i="6" s="1"/>
  <c r="AI4" i="6" s="1"/>
  <c r="AJ4" i="6" s="1"/>
  <c r="F1" i="6"/>
  <c r="G1" i="6" s="1"/>
  <c r="H1" i="6" s="1"/>
  <c r="I1" i="6" s="1"/>
  <c r="J1" i="6" s="1"/>
  <c r="K1" i="6" s="1"/>
  <c r="L1" i="6" s="1"/>
  <c r="M1" i="6" s="1"/>
  <c r="N1" i="6" s="1"/>
  <c r="O1" i="6" s="1"/>
  <c r="P1" i="6" s="1"/>
  <c r="Q1" i="6" s="1"/>
  <c r="R1" i="6" s="1"/>
  <c r="S1" i="6" s="1"/>
  <c r="T1" i="6" s="1"/>
  <c r="U1" i="6" s="1"/>
  <c r="V1" i="6" s="1"/>
  <c r="W1" i="6" s="1"/>
  <c r="X1" i="6" s="1"/>
  <c r="Y1" i="6" s="1"/>
  <c r="Z1" i="6" s="1"/>
  <c r="AA1" i="6" s="1"/>
  <c r="AB1" i="6" s="1"/>
  <c r="AC1" i="6" s="1"/>
  <c r="AD1" i="6" s="1"/>
  <c r="AE1" i="6" s="1"/>
  <c r="AF1" i="6" s="1"/>
  <c r="AG1" i="6" s="1"/>
  <c r="AH1" i="6" s="1"/>
  <c r="AI1" i="6" s="1"/>
  <c r="AJ1"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00000000-0006-0000-0500-000001000000}">
      <text>
        <r>
          <rPr>
            <sz val="12"/>
            <color rgb="FF000000"/>
            <rFont val="DengXian"/>
            <family val="2"/>
            <charset val="1"/>
          </rPr>
          <t>A phrase of flash is 16bytes</t>
        </r>
      </text>
    </comment>
    <comment ref="W6" authorId="0" shapeId="0" xr:uid="{00000000-0006-0000-0500-000024000000}">
      <text>
        <r>
          <rPr>
            <sz val="12"/>
            <color rgb="FF000000"/>
            <rFont val="DengXian"/>
            <family val="2"/>
            <charset val="1"/>
          </rPr>
          <t>Core clock
00 - 48Mhz FRO @1v0
01 - 96MHz FRO @1v1
10 - Reserved
11 - Reserved</t>
        </r>
      </text>
    </comment>
    <comment ref="AD6" authorId="0" shapeId="0" xr:uid="{00000000-0006-0000-0500-000032000000}">
      <text>
        <r>
          <rPr>
            <sz val="12"/>
            <color rgb="FF000000"/>
            <rFont val="DengXian"/>
            <family val="2"/>
            <charset val="1"/>
          </rPr>
          <t xml:space="preserve">ISP boot interface:
000 - Auto ISP
001 - UART ISP
010 - SPI Slave ISP
011 - I2C slave ISP
100 - USB0_HID
101 - Reserved
110 - Reserved
111 – Auto ISP
Note: 
MCXA14x/15x doesn’t support SPI and I2C ISP interface.
</t>
        </r>
      </text>
    </comment>
    <comment ref="U7" authorId="0" shapeId="0" xr:uid="{00000000-0006-0000-0500-00001F000000}">
      <text>
        <r>
          <rPr>
            <sz val="12"/>
            <color rgb="FF000000"/>
            <rFont val="DengXian"/>
            <family val="2"/>
            <charset val="1"/>
          </rPr>
          <t xml:space="preserve">Disable ISP mode entry through ROM API call.
</t>
        </r>
        <r>
          <rPr>
            <sz val="9"/>
            <color rgb="FF000000"/>
            <rFont val="Tahoma"/>
            <family val="2"/>
            <charset val="1"/>
          </rPr>
          <t xml:space="preserve">ISP mode can be entered through ROM API invocation
01 - ISP entry disabled. 
00,10, 11 - ISP entry allowed.
</t>
        </r>
      </text>
    </comment>
    <comment ref="W7" authorId="0" shapeId="0" xr:uid="{00000000-0006-0000-0500-000025000000}">
      <text>
        <r>
          <rPr>
            <sz val="12"/>
            <color rgb="FF000000"/>
            <rFont val="DengXian"/>
            <family val="2"/>
            <charset val="1"/>
          </rPr>
          <t xml:space="preserve">Disable ISP mode entry through debug mailbox command.
</t>
        </r>
        <r>
          <rPr>
            <sz val="9"/>
            <color rgb="FF000000"/>
            <rFont val="Tahoma"/>
            <family val="2"/>
            <charset val="1"/>
          </rPr>
          <t xml:space="preserve">
01 - ISP entry disabled. 
00,10, 11 - ISP entry allowed. 
</t>
        </r>
      </text>
    </comment>
    <comment ref="Y7" authorId="0" shapeId="0" xr:uid="{00000000-0006-0000-0500-000026000000}">
      <text>
        <r>
          <rPr>
            <sz val="12"/>
            <color rgb="FF000000"/>
            <rFont val="DengXian"/>
            <family val="2"/>
            <charset val="1"/>
          </rPr>
          <t>Disable ISP mode entry</t>
        </r>
        <r>
          <rPr>
            <sz val="9"/>
            <color rgb="FF000000"/>
            <rFont val="Tahoma"/>
            <family val="2"/>
            <charset val="1"/>
          </rPr>
          <t xml:space="preserve"> </t>
        </r>
        <r>
          <rPr>
            <b/>
            <sz val="9"/>
            <color rgb="FF000000"/>
            <rFont val="Tahoma"/>
            <family val="2"/>
            <charset val="1"/>
          </rPr>
          <t xml:space="preserve"> through pin assertion.
</t>
        </r>
        <r>
          <rPr>
            <sz val="9"/>
            <color rgb="FF000000"/>
            <rFont val="Tahoma"/>
            <family val="2"/>
            <charset val="1"/>
          </rPr>
          <t xml:space="preserve">01 - ISP entry disabled. 
00,10, 11 - ISP entry allowed. 
</t>
        </r>
      </text>
    </comment>
    <comment ref="AF7" authorId="0" shapeId="0" xr:uid="{00000000-0006-0000-0500-000033000000}">
      <text>
        <r>
          <rPr>
            <sz val="12"/>
            <color rgb="FF000000"/>
            <rFont val="DengXian"/>
            <family val="2"/>
            <charset val="1"/>
          </rPr>
          <t>Flash remap size.
This field should be written to remap field in flash. 
FLASH_REMAP_SIZE defines the size of the secondary boot image (the range of flash addresses that will be remapped)in internal flash, where remapped address end = FLASH_REMAP_SIZE * 32 KB. 
For example, if FLASH_REMAP_SIZE = 2, and flash total size is 1024KB, then the first 64KB of addresses will be remapped to flash upper half to flash upper half + 64KB region, instead of flash lower half, when remap is active. 
Set this field to 0  or 0x1F if you do not want to use the flash remap feature.
Please reference FMC chapter in reference manual to get the detail of flash remapping function</t>
        </r>
      </text>
    </comment>
    <comment ref="M8" authorId="0" shapeId="0" xr:uid="{00000000-0006-0000-0500-000019000000}">
      <text>
        <r>
          <rPr>
            <sz val="12"/>
            <color rgb="FF000000"/>
            <rFont val="DengXian"/>
            <family val="2"/>
            <charset val="1"/>
          </rPr>
          <t xml:space="preserve">Assert on fatal errors during boot.
</t>
        </r>
        <r>
          <rPr>
            <sz val="9"/>
            <color rgb="FF000000"/>
            <rFont val="Tahoma"/>
            <family val="2"/>
            <charset val="1"/>
          </rPr>
          <t xml:space="preserve">ROM toggles the GPIO pin identified by this field whenever primary boot fails due to fatal errors before locking-up/reset. Note, use QUICK_SET_/CLR_GPIOx field to set the default level of pin.
[4:0] GPIO Pin number
[7:5] GPIO port number
 </t>
        </r>
      </text>
    </comment>
    <comment ref="U9" authorId="0" shapeId="0" xr:uid="{00000000-0006-0000-0500-000020000000}">
      <text>
        <r>
          <rPr>
            <sz val="12"/>
            <color rgb="FF000000"/>
            <rFont val="DengXian"/>
            <family val="2"/>
            <charset val="1"/>
          </rPr>
          <t xml:space="preserve">Powerdown timeout:
</t>
        </r>
        <r>
          <rPr>
            <sz val="9"/>
            <color rgb="FF000000"/>
            <rFont val="Tahoma"/>
            <family val="2"/>
            <charset val="1"/>
          </rPr>
          <t xml:space="preserve">Timeout value in seconds. When a non-zero value is programmed in this field ROM uses it as idle timeout value to enter power-down state to conserve power.  </t>
        </r>
        <r>
          <rPr>
            <b/>
            <sz val="9"/>
            <color rgb="FF000000"/>
            <rFont val="Tahoma"/>
            <family val="2"/>
            <charset val="1"/>
          </rPr>
          <t xml:space="preserve"> </t>
        </r>
      </text>
    </comment>
    <comment ref="I10" authorId="0" shapeId="0" xr:uid="{00000000-0006-0000-0500-000014000000}">
      <text>
        <r>
          <rPr>
            <sz val="12"/>
            <color rgb="FF000000"/>
            <rFont val="DengXian"/>
            <family val="2"/>
            <charset val="1"/>
          </rPr>
          <t>Identifies the pin mux function slot.</t>
        </r>
      </text>
    </comment>
    <comment ref="M10" authorId="0" shapeId="0" xr:uid="{00000000-0006-0000-0500-00001A000000}">
      <text>
        <r>
          <rPr>
            <sz val="12"/>
            <color rgb="FF000000"/>
            <rFont val="DengXian"/>
            <family val="2"/>
            <charset val="1"/>
          </rPr>
          <t xml:space="preserve">Override deafult UART TX ISP pin.
</t>
        </r>
        <r>
          <rPr>
            <sz val="9"/>
            <color rgb="FF000000"/>
            <rFont val="Tahoma"/>
            <family val="2"/>
            <charset val="1"/>
          </rPr>
          <t xml:space="preserve">Identifies the pin to be used as UART_TX pin. 
[4:0] GPIO Pin number
[7:5] GPIO port number
 </t>
        </r>
      </text>
    </comment>
    <comment ref="U10" authorId="0" shapeId="0" xr:uid="{00000000-0006-0000-0500-000021000000}">
      <text>
        <r>
          <rPr>
            <sz val="12"/>
            <color rgb="FF000000"/>
            <rFont val="DengXian"/>
            <family val="2"/>
            <charset val="1"/>
          </rPr>
          <t>Identifies the LPUART instance used for UART ISP mode.</t>
        </r>
      </text>
    </comment>
    <comment ref="Y10" authorId="0" shapeId="0" xr:uid="{00000000-0006-0000-0500-000027000000}">
      <text>
        <r>
          <rPr>
            <sz val="12"/>
            <color rgb="FF000000"/>
            <rFont val="DengXian"/>
            <family val="2"/>
            <charset val="1"/>
          </rPr>
          <t>Identifies the pin mux function slot.</t>
        </r>
      </text>
    </comment>
    <comment ref="AC10" authorId="0" shapeId="0" xr:uid="{00000000-0006-0000-0500-00002C000000}">
      <text>
        <r>
          <rPr>
            <sz val="12"/>
            <color rgb="FF000000"/>
            <rFont val="DengXian"/>
            <family val="2"/>
            <charset val="1"/>
          </rPr>
          <t xml:space="preserve">Override deafult UART RX ISP pin.
</t>
        </r>
        <r>
          <rPr>
            <sz val="9"/>
            <color rgb="FF000000"/>
            <rFont val="Tahoma"/>
            <family val="2"/>
            <charset val="1"/>
          </rPr>
          <t xml:space="preserve">Identifies the pin to be used as UART_RX pin. 
[4:0] GPIO Pin number
[7:5] GPIO port number
 </t>
        </r>
      </text>
    </comment>
    <comment ref="I11" authorId="0" shapeId="0" xr:uid="{00000000-0006-0000-0500-000015000000}">
      <text>
        <r>
          <rPr>
            <sz val="12"/>
            <color rgb="FF000000"/>
            <rFont val="DengXian"/>
            <family val="2"/>
            <charset val="1"/>
          </rPr>
          <t>Identifies the pin mux function slot.</t>
        </r>
      </text>
    </comment>
    <comment ref="M11" authorId="0" shapeId="0" xr:uid="{00000000-0006-0000-0500-00001B000000}">
      <text>
        <r>
          <rPr>
            <sz val="12"/>
            <color rgb="FF000000"/>
            <rFont val="DengXian"/>
            <family val="2"/>
            <charset val="1"/>
          </rPr>
          <t xml:space="preserve">Override deafult UART TX ISP pin.
</t>
        </r>
        <r>
          <rPr>
            <sz val="9"/>
            <color rgb="FF000000"/>
            <rFont val="Tahoma"/>
            <family val="2"/>
            <charset val="1"/>
          </rPr>
          <t xml:space="preserve">Identifies the pin to be used as UART_TX pin. 
[4:0] GPIO Pin number
[7:5] GPIO port number
 </t>
        </r>
      </text>
    </comment>
    <comment ref="U11" authorId="0" shapeId="0" xr:uid="{00000000-0006-0000-0500-000022000000}">
      <text>
        <r>
          <rPr>
            <sz val="12"/>
            <color rgb="FF000000"/>
            <rFont val="DengXian"/>
            <family val="2"/>
            <charset val="1"/>
          </rPr>
          <t>Identifies the LPI2C instance used for LPI2C ISP mode.</t>
        </r>
      </text>
    </comment>
    <comment ref="Y11" authorId="0" shapeId="0" xr:uid="{00000000-0006-0000-0500-000028000000}">
      <text>
        <r>
          <rPr>
            <sz val="12"/>
            <color rgb="FF000000"/>
            <rFont val="DengXian"/>
            <family val="2"/>
            <charset val="1"/>
          </rPr>
          <t>Identifies the pin mux function slot.</t>
        </r>
      </text>
    </comment>
    <comment ref="AC11" authorId="0" shapeId="0" xr:uid="{00000000-0006-0000-0500-00002D000000}">
      <text>
        <r>
          <rPr>
            <sz val="12"/>
            <color rgb="FF000000"/>
            <rFont val="DengXian"/>
            <family val="2"/>
            <charset val="1"/>
          </rPr>
          <t xml:space="preserve">Override deafult UART RX ISP pin.
</t>
        </r>
        <r>
          <rPr>
            <sz val="9"/>
            <color rgb="FF000000"/>
            <rFont val="Tahoma"/>
            <family val="2"/>
            <charset val="1"/>
          </rPr>
          <t xml:space="preserve">Identifies the pin to be used as UART_RX pin. 
[4:0] GPIO Pin number
[7:5] GPIO port number
 </t>
        </r>
      </text>
    </comment>
    <comment ref="I13" authorId="0" shapeId="0" xr:uid="{00000000-0006-0000-0500-000016000000}">
      <text>
        <r>
          <rPr>
            <sz val="12"/>
            <color rgb="FF000000"/>
            <rFont val="DengXian"/>
            <family val="2"/>
            <charset val="1"/>
          </rPr>
          <t>Identifies the pin mux function slot.</t>
        </r>
      </text>
    </comment>
    <comment ref="M13" authorId="0" shapeId="0" xr:uid="{00000000-0006-0000-0500-00001C000000}">
      <text>
        <r>
          <rPr>
            <sz val="12"/>
            <color rgb="FF000000"/>
            <rFont val="DengXian"/>
            <family val="2"/>
            <charset val="1"/>
          </rPr>
          <t xml:space="preserve">Override deafult SPI_MOSI ISP pin.
</t>
        </r>
        <r>
          <rPr>
            <sz val="9"/>
            <color rgb="FF000000"/>
            <rFont val="Tahoma"/>
            <family val="2"/>
            <charset val="1"/>
          </rPr>
          <t xml:space="preserve">Identifies the pin to be used as SPI_MOSI pin. 
[4:0] GPIO Pin number
[7:5] GPIO port number
 </t>
        </r>
      </text>
    </comment>
    <comment ref="U13" authorId="0" shapeId="0" xr:uid="{00000000-0006-0000-0500-000023000000}">
      <text>
        <r>
          <rPr>
            <sz val="12"/>
            <color rgb="FF000000"/>
            <rFont val="DengXian"/>
            <family val="2"/>
            <charset val="1"/>
          </rPr>
          <t>Identifies the LPSPI instance used for LPSPI ISP mode.</t>
        </r>
      </text>
    </comment>
    <comment ref="Y13" authorId="0" shapeId="0" xr:uid="{00000000-0006-0000-0500-000029000000}">
      <text>
        <r>
          <rPr>
            <sz val="12"/>
            <color rgb="FF000000"/>
            <rFont val="DengXian"/>
            <family val="2"/>
            <charset val="1"/>
          </rPr>
          <t>Identifies the pin mux function slot.</t>
        </r>
      </text>
    </comment>
    <comment ref="AC13" authorId="0" shapeId="0" xr:uid="{00000000-0006-0000-0500-00002E000000}">
      <text>
        <r>
          <rPr>
            <sz val="12"/>
            <color rgb="FF000000"/>
            <rFont val="DengXian"/>
            <family val="2"/>
            <charset val="1"/>
          </rPr>
          <t xml:space="preserve">Override deafult SPI_SCK ISP pin.
</t>
        </r>
        <r>
          <rPr>
            <sz val="9"/>
            <color rgb="FF000000"/>
            <rFont val="Tahoma"/>
            <family val="2"/>
            <charset val="1"/>
          </rPr>
          <t xml:space="preserve">Identifies the pin to be used as SPI_SCK pin. 
[4:0] GPIO Pin number
[7:5] GPIO port number
 </t>
        </r>
      </text>
    </comment>
    <comment ref="G14" authorId="0" shapeId="0" xr:uid="{00000000-0006-0000-0500-000012000000}">
      <text>
        <r>
          <rPr>
            <sz val="12"/>
            <color rgb="FF000000"/>
            <rFont val="DengXian"/>
            <family val="2"/>
            <charset val="1"/>
          </rPr>
          <t xml:space="preserve">SPI chip select number.
</t>
        </r>
        <r>
          <rPr>
            <sz val="9"/>
            <color rgb="FF000000"/>
            <rFont val="Tahoma"/>
            <family val="2"/>
            <charset val="1"/>
          </rPr>
          <t xml:space="preserve">FlexComm SPI interfaces supports upto four chip selects.
</t>
        </r>
      </text>
    </comment>
    <comment ref="I14" authorId="0" shapeId="0" xr:uid="{00000000-0006-0000-0500-000017000000}">
      <text>
        <r>
          <rPr>
            <sz val="12"/>
            <color rgb="FF000000"/>
            <rFont val="DengXian"/>
            <family val="2"/>
            <charset val="1"/>
          </rPr>
          <t>Identifies the pin mux function slot.</t>
        </r>
      </text>
    </comment>
    <comment ref="M14" authorId="0" shapeId="0" xr:uid="{00000000-0006-0000-0500-00001D000000}">
      <text>
        <r>
          <rPr>
            <sz val="12"/>
            <color rgb="FF000000"/>
            <rFont val="DengXian"/>
            <family val="2"/>
            <charset val="1"/>
          </rPr>
          <t xml:space="preserve">Override deafult SPI_SSEL ISP pin.
</t>
        </r>
        <r>
          <rPr>
            <sz val="9"/>
            <color rgb="FF000000"/>
            <rFont val="Tahoma"/>
            <family val="2"/>
            <charset val="1"/>
          </rPr>
          <t xml:space="preserve">Identifies the pin to be used as SPI_SSEL pin. 
[4:0] GPIO Pin number
[7:5] GPIO port number
 </t>
        </r>
      </text>
    </comment>
    <comment ref="Y14" authorId="0" shapeId="0" xr:uid="{00000000-0006-0000-0500-00002A000000}">
      <text>
        <r>
          <rPr>
            <sz val="12"/>
            <color rgb="FF000000"/>
            <rFont val="DengXian"/>
            <family val="2"/>
            <charset val="1"/>
          </rPr>
          <t>Identifies the pin mux function slot.</t>
        </r>
      </text>
    </comment>
    <comment ref="AC14" authorId="0" shapeId="0" xr:uid="{00000000-0006-0000-0500-00002F000000}">
      <text>
        <r>
          <rPr>
            <sz val="12"/>
            <color rgb="FF000000"/>
            <rFont val="DengXian"/>
            <family val="2"/>
            <charset val="1"/>
          </rPr>
          <t xml:space="preserve">Override deafult SPI_MISO ISP pin.
</t>
        </r>
        <r>
          <rPr>
            <sz val="9"/>
            <color rgb="FF000000"/>
            <rFont val="Tahoma"/>
            <family val="2"/>
            <charset val="1"/>
          </rPr>
          <t xml:space="preserve">Identifies the pin to be used as SPI_MISO pin. 
[4:0] GPIO Pin number
[7:5] GPIO port number
 </t>
        </r>
      </text>
    </comment>
    <comment ref="Y16" authorId="0" shapeId="0" xr:uid="{00000000-0006-0000-0500-00002B000000}">
      <text>
        <r>
          <rPr>
            <sz val="12"/>
            <color rgb="FF000000"/>
            <rFont val="DengXian"/>
            <family val="2"/>
            <charset val="1"/>
          </rPr>
          <t>Identifies the pin mux function slot.</t>
        </r>
      </text>
    </comment>
    <comment ref="AC16" authorId="0" shapeId="0" xr:uid="{00000000-0006-0000-0500-000030000000}">
      <text>
        <r>
          <rPr>
            <sz val="12"/>
            <color rgb="FF000000"/>
            <rFont val="DengXian"/>
            <family val="2"/>
            <charset val="1"/>
          </rPr>
          <t xml:space="preserve">Override deafult USB0_VBUS_DETECT ISP pin.
</t>
        </r>
        <r>
          <rPr>
            <sz val="9"/>
            <color rgb="FF000000"/>
            <rFont val="Tahoma"/>
            <family val="2"/>
            <charset val="1"/>
          </rPr>
          <t xml:space="preserve">Identifies the pin to be used as USB0_VBUS detect pin. 
[4:0] GPIO Pin number
[7:5] GPIO port number
 </t>
        </r>
      </text>
    </comment>
    <comment ref="E17" authorId="0" shapeId="0" xr:uid="{00000000-0006-0000-0500-000002000000}">
      <text>
        <r>
          <rPr>
            <sz val="12"/>
            <color rgb="FF000000"/>
            <rFont val="DengXian"/>
            <family val="2"/>
            <charset val="1"/>
          </rPr>
          <t xml:space="preserve">Use customer defined UART ISP pins.
</t>
        </r>
        <r>
          <rPr>
            <sz val="9"/>
            <color rgb="FF000000"/>
            <rFont val="Tahoma"/>
            <family val="2"/>
            <charset val="1"/>
          </rPr>
          <t>01: Customer defined.
00, 10, 11: Default ROM defined pins.</t>
        </r>
      </text>
    </comment>
    <comment ref="G17" authorId="0" shapeId="0" xr:uid="{00000000-0006-0000-0500-000013000000}">
      <text>
        <r>
          <rPr>
            <sz val="12"/>
            <color rgb="FF000000"/>
            <rFont val="DengXian"/>
            <family val="2"/>
            <charset val="1"/>
          </rPr>
          <t xml:space="preserve">Use customer defined I2C ISP pins.
</t>
        </r>
        <r>
          <rPr>
            <sz val="9"/>
            <color rgb="FF000000"/>
            <rFont val="Tahoma"/>
            <family val="2"/>
            <charset val="1"/>
          </rPr>
          <t>01: Customer defined.
00, 10, 11: Default ROM defined pins.</t>
        </r>
      </text>
    </comment>
    <comment ref="I17" authorId="0" shapeId="0" xr:uid="{00000000-0006-0000-0500-000018000000}">
      <text>
        <r>
          <rPr>
            <sz val="12"/>
            <color rgb="FF000000"/>
            <rFont val="DengXian"/>
            <family val="2"/>
            <charset val="1"/>
          </rPr>
          <t xml:space="preserve">Use customer defined SPI ISP pins.
</t>
        </r>
        <r>
          <rPr>
            <sz val="9"/>
            <color rgb="FF000000"/>
            <rFont val="Tahoma"/>
            <family val="2"/>
            <charset val="1"/>
          </rPr>
          <t>01: Customer defined.
00, 10, 11: Default ROM defined pins.</t>
        </r>
      </text>
    </comment>
    <comment ref="M17" authorId="0" shapeId="0" xr:uid="{00000000-0006-0000-0500-00001E000000}">
      <text>
        <r>
          <rPr>
            <sz val="12"/>
            <color rgb="FF000000"/>
            <rFont val="DengXian"/>
            <family val="2"/>
            <charset val="1"/>
          </rPr>
          <t xml:space="preserve">Use customer defined GPIO for USB VBUS detect function during ISP mode.
</t>
        </r>
        <r>
          <rPr>
            <sz val="9"/>
            <color rgb="FF000000"/>
            <rFont val="Tahoma"/>
            <family val="2"/>
            <charset val="1"/>
          </rPr>
          <t>00: Use dedicated VBUS pins.
01: Customer defined GPIO for USB0_VBUS detect.
10: Customer defined GPIO for USB1_VBUS detect.
11: Use VDD_USB for VBUS presence. On board regulator should generate VDD_USB voltage using 5V input fo VBUS pin on connector.</t>
        </r>
      </text>
    </comment>
    <comment ref="AC17" authorId="0" shapeId="0" xr:uid="{00000000-0006-0000-0500-000031000000}">
      <text>
        <r>
          <rPr>
            <sz val="12"/>
            <color rgb="FF000000"/>
            <rFont val="DengXian"/>
            <family val="2"/>
            <charset val="1"/>
          </rPr>
          <t xml:space="preserve">I2C slave addres
</t>
        </r>
        <r>
          <rPr>
            <sz val="9"/>
            <color rgb="FF000000"/>
            <rFont val="Tahoma"/>
            <family val="2"/>
            <charset val="1"/>
          </rPr>
          <t>A 7-bit</t>
        </r>
        <r>
          <rPr>
            <b/>
            <sz val="9"/>
            <color rgb="FF000000"/>
            <rFont val="Tahoma"/>
            <family val="2"/>
            <charset val="1"/>
          </rPr>
          <t xml:space="preserve"> </t>
        </r>
        <r>
          <rPr>
            <sz val="9"/>
            <color rgb="FF000000"/>
            <rFont val="Tahoma"/>
            <family val="2"/>
            <charset val="1"/>
          </rPr>
          <t xml:space="preserve">Address used for selecting our device on shared I2C bus system.
By default  ROM uses 0x10 as slave address. If this address conflicts with another slave on board  customer could use this field to override the address.
</t>
        </r>
      </text>
    </comment>
    <comment ref="F22" authorId="0" shapeId="0" xr:uid="{00000000-0006-0000-0500-000011000000}">
      <text>
        <r>
          <rPr>
            <sz val="12"/>
            <color rgb="FF000000"/>
            <rFont val="DengXian"/>
            <family val="2"/>
            <charset val="1"/>
          </rPr>
          <t>FLASH_ACL fileds are used to control flash access permission in MBC. For example, ACL_SEC_7 is used to configure flash block 7 access permission configuration in MBC. Please reference the details of MBC configuration in RM.
The access permission of MBC is controlled by GLIKEY slot 15.</t>
        </r>
      </text>
    </comment>
    <comment ref="E30" authorId="0" shapeId="0" xr:uid="{00000000-0006-0000-0500-000003000000}">
      <text>
        <r>
          <rPr>
            <sz val="12"/>
            <color rgb="FF000000"/>
            <rFont val="DengXian"/>
            <family val="2"/>
            <charset val="1"/>
          </rPr>
          <t xml:space="preserve">Drive GPIO 0 port pins high after reset.
</t>
        </r>
        <r>
          <rPr>
            <sz val="9"/>
            <color rgb="FF000000"/>
            <rFont val="Tahoma"/>
            <family val="2"/>
            <charset val="1"/>
          </rPr>
          <t xml:space="preserve">Each bit corresponds to the pin in GPIO port 0. When set ROM drives the corresponding pin high as soon as possible. By default most pins come-up as tri-stated inputs. This feature allows customer to specify active drive pins soon after reset instead of waiting till complete boot. 
</t>
        </r>
      </text>
    </comment>
    <comment ref="E31" authorId="0" shapeId="0" xr:uid="{00000000-0006-0000-0500-000004000000}">
      <text>
        <r>
          <rPr>
            <sz val="12"/>
            <color rgb="FF000000"/>
            <rFont val="DengXian"/>
            <family val="2"/>
            <charset val="1"/>
          </rPr>
          <t xml:space="preserve">Drive GPIO 0 port pins low.
</t>
        </r>
        <r>
          <rPr>
            <sz val="9"/>
            <color rgb="FF000000"/>
            <rFont val="Tahoma"/>
            <family val="2"/>
            <charset val="1"/>
          </rPr>
          <t xml:space="preserve">See description of QUICK_SET_GPIO_0 field.
</t>
        </r>
      </text>
    </comment>
    <comment ref="E32" authorId="0" shapeId="0" xr:uid="{00000000-0006-0000-0500-000005000000}">
      <text>
        <r>
          <rPr>
            <sz val="12"/>
            <color rgb="FF000000"/>
            <rFont val="DengXian"/>
            <family val="2"/>
            <charset val="1"/>
          </rPr>
          <t xml:space="preserve">Drive GPIO 1 port pins high.
</t>
        </r>
        <r>
          <rPr>
            <sz val="9"/>
            <color rgb="FF000000"/>
            <rFont val="Tahoma"/>
            <family val="2"/>
            <charset val="1"/>
          </rPr>
          <t>See description of QUICK_SET_GPIO_0 field.</t>
        </r>
      </text>
    </comment>
    <comment ref="E33" authorId="0" shapeId="0" xr:uid="{00000000-0006-0000-0500-000006000000}">
      <text>
        <r>
          <rPr>
            <sz val="12"/>
            <color rgb="FF000000"/>
            <rFont val="DengXian"/>
            <family val="2"/>
            <charset val="1"/>
          </rPr>
          <t xml:space="preserve">Drive GPIO 1 port pins low.
</t>
        </r>
        <r>
          <rPr>
            <sz val="9"/>
            <color rgb="FF000000"/>
            <rFont val="Tahoma"/>
            <family val="2"/>
            <charset val="1"/>
          </rPr>
          <t>See description of QUICK_SET_GPIO_0 field.</t>
        </r>
      </text>
    </comment>
    <comment ref="E34" authorId="0" shapeId="0" xr:uid="{00000000-0006-0000-0500-000007000000}">
      <text>
        <r>
          <rPr>
            <sz val="12"/>
            <color rgb="FF000000"/>
            <rFont val="DengXian"/>
            <family val="2"/>
            <charset val="1"/>
          </rPr>
          <t xml:space="preserve">Drive GPIO 0 port pins high after reset.
</t>
        </r>
        <r>
          <rPr>
            <sz val="9"/>
            <color rgb="FF000000"/>
            <rFont val="Tahoma"/>
            <family val="2"/>
            <charset val="1"/>
          </rPr>
          <t xml:space="preserve">Each bit corresponds to the pin in GPIO port 0. When set ROM drives the corresponding pin high as soon as possible. By default most pins come-up as tri-stated inputs. This feature allows customer to specify active drive pins soon after reset instead of waiting till complete boot. 
</t>
        </r>
      </text>
    </comment>
    <comment ref="E35" authorId="0" shapeId="0" xr:uid="{00000000-0006-0000-0500-000008000000}">
      <text>
        <r>
          <rPr>
            <sz val="12"/>
            <color rgb="FF000000"/>
            <rFont val="DengXian"/>
            <family val="2"/>
            <charset val="1"/>
          </rPr>
          <t xml:space="preserve">Drive GPIO 0 port pins low.
</t>
        </r>
        <r>
          <rPr>
            <sz val="9"/>
            <color rgb="FF000000"/>
            <rFont val="Tahoma"/>
            <family val="2"/>
            <charset val="1"/>
          </rPr>
          <t xml:space="preserve">See description of QUICK_SET_GPIO_0 field.
</t>
        </r>
      </text>
    </comment>
    <comment ref="E36" authorId="0" shapeId="0" xr:uid="{00000000-0006-0000-0500-000009000000}">
      <text>
        <r>
          <rPr>
            <sz val="12"/>
            <color rgb="FF000000"/>
            <rFont val="DengXian"/>
            <family val="2"/>
            <charset val="1"/>
          </rPr>
          <t xml:space="preserve">Drive GPIO 1 port pins high.
</t>
        </r>
        <r>
          <rPr>
            <sz val="9"/>
            <color rgb="FF000000"/>
            <rFont val="Tahoma"/>
            <family val="2"/>
            <charset val="1"/>
          </rPr>
          <t>See description of QUICK_SET_GPIO_0 field.</t>
        </r>
      </text>
    </comment>
    <comment ref="E37" authorId="0" shapeId="0" xr:uid="{00000000-0006-0000-0500-00000A000000}">
      <text>
        <r>
          <rPr>
            <sz val="12"/>
            <color rgb="FF000000"/>
            <rFont val="DengXian"/>
            <family val="2"/>
            <charset val="1"/>
          </rPr>
          <t xml:space="preserve">Drive GPIO 1 port pins low.
</t>
        </r>
        <r>
          <rPr>
            <sz val="9"/>
            <color rgb="FF000000"/>
            <rFont val="Tahoma"/>
            <family val="2"/>
            <charset val="1"/>
          </rPr>
          <t>See description of QUICK_SET_GPIO_0 field.</t>
        </r>
      </text>
    </comment>
    <comment ref="E38" authorId="0" shapeId="0" xr:uid="{00000000-0006-0000-0500-00000B000000}">
      <text>
        <r>
          <rPr>
            <sz val="12"/>
            <color rgb="FF000000"/>
            <rFont val="DengXian"/>
            <family val="2"/>
            <charset val="1"/>
          </rPr>
          <t xml:space="preserve">Drive GPIO 0 port pins high after reset.
</t>
        </r>
        <r>
          <rPr>
            <sz val="9"/>
            <color rgb="FF000000"/>
            <rFont val="Tahoma"/>
            <family val="2"/>
            <charset val="1"/>
          </rPr>
          <t xml:space="preserve">Each bit corresponds to the pin in GPIO port 0. When set ROM drives the corresponding pin high as soon as possible. By default most pins come-up as tri-stated inputs. This feature allows customer to specify active drive pins soon after reset instead of waiting till complete boot. 
</t>
        </r>
      </text>
    </comment>
    <comment ref="E39" authorId="0" shapeId="0" xr:uid="{00000000-0006-0000-0500-00000C000000}">
      <text>
        <r>
          <rPr>
            <sz val="12"/>
            <color rgb="FF000000"/>
            <rFont val="DengXian"/>
            <family val="2"/>
            <charset val="1"/>
          </rPr>
          <t xml:space="preserve">Drive GPIO 0 port pins low.
</t>
        </r>
        <r>
          <rPr>
            <sz val="9"/>
            <color rgb="FF000000"/>
            <rFont val="Tahoma"/>
            <family val="2"/>
            <charset val="1"/>
          </rPr>
          <t xml:space="preserve">See description of QUICK_SET_GPIO_0 field.
</t>
        </r>
      </text>
    </comment>
    <comment ref="E40" authorId="0" shapeId="0" xr:uid="{00000000-0006-0000-0500-00000D000000}">
      <text>
        <r>
          <rPr>
            <sz val="12"/>
            <color rgb="FF000000"/>
            <rFont val="DengXian"/>
            <family val="2"/>
            <charset val="1"/>
          </rPr>
          <t xml:space="preserve">Drive GPIO 1 port pins high.
</t>
        </r>
        <r>
          <rPr>
            <sz val="9"/>
            <color rgb="FF000000"/>
            <rFont val="Tahoma"/>
            <family val="2"/>
            <charset val="1"/>
          </rPr>
          <t>See description of QUICK_SET_GPIO_0 field.</t>
        </r>
      </text>
    </comment>
    <comment ref="E41" authorId="0" shapeId="0" xr:uid="{00000000-0006-0000-0500-00000E000000}">
      <text>
        <r>
          <rPr>
            <sz val="12"/>
            <color rgb="FF000000"/>
            <rFont val="DengXian"/>
            <family val="2"/>
            <charset val="1"/>
          </rPr>
          <t xml:space="preserve">Drive GPIO 1 port pins low.
</t>
        </r>
        <r>
          <rPr>
            <sz val="9"/>
            <color rgb="FF000000"/>
            <rFont val="Tahoma"/>
            <family val="2"/>
            <charset val="1"/>
          </rPr>
          <t>See description of QUICK_SET_GPIO_0 field.</t>
        </r>
      </text>
    </comment>
    <comment ref="E42" authorId="0" shapeId="0" xr:uid="{00000000-0006-0000-0500-00000F000000}">
      <text>
        <r>
          <rPr>
            <sz val="12"/>
            <color rgb="FF000000"/>
            <rFont val="DengXian"/>
            <family val="2"/>
            <charset val="1"/>
          </rPr>
          <t>2’b00 Disable CRC check
All other value enable CRC check</t>
        </r>
      </text>
    </comment>
    <comment ref="E46" authorId="0" shapeId="0" xr:uid="{00000000-0006-0000-0500-000010000000}">
      <text>
        <r>
          <rPr>
            <sz val="12"/>
            <color rgb="FF000000"/>
            <rFont val="DengXian"/>
            <family val="2"/>
            <charset val="1"/>
          </rPr>
          <t>2’b00 Disable CRC check
All other value enable CRC</t>
        </r>
      </text>
    </comment>
  </commentList>
</comments>
</file>

<file path=xl/sharedStrings.xml><?xml version="1.0" encoding="utf-8"?>
<sst xmlns="http://schemas.openxmlformats.org/spreadsheetml/2006/main" count="218" uniqueCount="195">
  <si>
    <t>Start Address</t>
  </si>
  <si>
    <t>0x0000_0000</t>
  </si>
  <si>
    <t>Bank0
Swapable Region 0</t>
  </si>
  <si>
    <t>Swap Size (Up Limit)</t>
  </si>
  <si>
    <t>Bank0
Static Region 0</t>
  </si>
  <si>
    <t>0x0008_0000</t>
  </si>
  <si>
    <t>Bank 0
 Swapable Region 1</t>
  </si>
  <si>
    <t>0x0000_8000 + Swat Size</t>
  </si>
  <si>
    <t>Bank0
Static Region 1</t>
  </si>
  <si>
    <t>0x000F_FFFF</t>
  </si>
  <si>
    <t>0x0100_0000</t>
  </si>
  <si>
    <t>Bank0_IFR0
CMPA (256B)</t>
  </si>
  <si>
    <t>0x0100_0100</t>
  </si>
  <si>
    <t>Bank0_IFR0
Customer defined (7.8KB)</t>
  </si>
  <si>
    <t>0x0100_2000</t>
  </si>
  <si>
    <t>Bank0_IFR0
Flash Loader (24KB)</t>
  </si>
  <si>
    <t>0x0100_7FFF</t>
  </si>
  <si>
    <t>0x0100_8000</t>
  </si>
  <si>
    <t>0x0110_0000</t>
  </si>
  <si>
    <t>Bank0_IFR1_HIDDEN (2KB)</t>
  </si>
  <si>
    <t>0x0110_0800</t>
  </si>
  <si>
    <t>Bank0_IFR1_VISIBLE (2KB)</t>
  </si>
  <si>
    <t>0x0110_1000</t>
  </si>
  <si>
    <t>Bank0_IFR1_HIDDEN(2KB)</t>
  </si>
  <si>
    <t>0x0110_1800</t>
  </si>
  <si>
    <t>0x0110_2000</t>
  </si>
  <si>
    <t>IFR1 Address</t>
  </si>
  <si>
    <t>Field name</t>
  </si>
  <si>
    <t>Field Description</t>
  </si>
  <si>
    <t>0x0110_0800 – 0x0110_080F</t>
  </si>
  <si>
    <t>UUID[127:0]</t>
  </si>
  <si>
    <t>Universal Unique Identifier (UUID) programmed per part as per RFC4122 version 5 specification.</t>
  </si>
  <si>
    <t>0x0110_0810 – 0x0110_081F</t>
  </si>
  <si>
    <t>ECID[127:0]</t>
  </si>
  <si>
    <t xml:space="preserve"> NXP's Electronic Chip Identifier(ECID) used for identifying manufacturing batch the part belongs.</t>
  </si>
  <si>
    <t>Flash Loader</t>
  </si>
  <si>
    <t>Protected Flash Region</t>
  </si>
  <si>
    <t>+3</t>
  </si>
  <si>
    <t>+2</t>
  </si>
  <si>
    <t>+1</t>
  </si>
  <si>
    <t>+0</t>
  </si>
  <si>
    <t>Phrase Address
(HEX)</t>
  </si>
  <si>
    <t>Byte Address
(HEX)</t>
  </si>
  <si>
    <t>Customer Manufacturing/Factory Configuration Area (CMPA)</t>
  </si>
  <si>
    <t>BOOT_CFG</t>
  </si>
  <si>
    <r>
      <rPr>
        <sz val="11"/>
        <color rgb="FF000000"/>
        <rFont val="DengXian"/>
        <charset val="134"/>
      </rPr>
      <t>CMPA Header marker should be set to</t>
    </r>
    <r>
      <rPr>
        <b/>
        <sz val="11"/>
        <color rgb="FF000000"/>
        <rFont val="DengXian"/>
        <charset val="134"/>
      </rPr>
      <t xml:space="preserve"> 0x5963</t>
    </r>
  </si>
  <si>
    <t>Reserved(must be 00b)</t>
  </si>
  <si>
    <t>BOOT_SPEED</t>
  </si>
  <si>
    <t>ISP_BOOT_IF</t>
  </si>
  <si>
    <t>FLASH_CFG</t>
  </si>
  <si>
    <t>ISP_API_ENTRY</t>
  </si>
  <si>
    <t>ISP_DM_ENTRY</t>
  </si>
  <si>
    <t>ISP_PIN_ENTRY</t>
  </si>
  <si>
    <t>FLASH_REMAP_SZ</t>
  </si>
  <si>
    <t>BOOT_LED_STATUS</t>
  </si>
  <si>
    <t>BOOT_FAIL_LED</t>
  </si>
  <si>
    <t>BOOT_TIMERS</t>
  </si>
  <si>
    <t>POWERDOWN_TIMEOUT_SECS</t>
  </si>
  <si>
    <t>ISP_UART_CFG</t>
  </si>
  <si>
    <t>Reserved</t>
  </si>
  <si>
    <t>UART_TX_FUNC_SLOT</t>
  </si>
  <si>
    <t>UART_TX_PIN</t>
  </si>
  <si>
    <t>UART_ISP_INSTANCE</t>
  </si>
  <si>
    <t>UART_RX_FUNC_SLOT</t>
  </si>
  <si>
    <t>UART_RX_PIN</t>
  </si>
  <si>
    <t>ISP_I2C_CFG</t>
  </si>
  <si>
    <t>I2C_SDA_FUNC_SLOT</t>
  </si>
  <si>
    <t>I2C_SDA_PIN</t>
  </si>
  <si>
    <t>I2C_ISP_INSTANCE</t>
  </si>
  <si>
    <t>I2C_SCL_FUNC_SLOT</t>
  </si>
  <si>
    <t>I2C_SCL_PIN</t>
  </si>
  <si>
    <t>ISP_SPI_CFG0</t>
  </si>
  <si>
    <t>SPI_MOSI_FUNC_SLOT</t>
  </si>
  <si>
    <t>SPI_MOSI_PIN</t>
  </si>
  <si>
    <t>SPI_ISP_INSTANCE</t>
  </si>
  <si>
    <t>SPI_SCK_FUNC_SLOT</t>
  </si>
  <si>
    <t>SPI_SCK_PIN</t>
  </si>
  <si>
    <t>ISP_SPI_CFG1</t>
  </si>
  <si>
    <t>ISP_SPI_SSEL_X</t>
  </si>
  <si>
    <t>SPI_SSEL_FUNC_SLOT</t>
  </si>
  <si>
    <t>SPI_SSEL_PIN</t>
  </si>
  <si>
    <t>SPI_MISO_FUNC_SLOT</t>
  </si>
  <si>
    <t>SPI_MISO_PIN</t>
  </si>
  <si>
    <t>ISP_USB_ID</t>
  </si>
  <si>
    <t>USB Product ID</t>
  </si>
  <si>
    <t>USB Vendor ID</t>
  </si>
  <si>
    <t>ISP_USB_CFG</t>
  </si>
  <si>
    <t>USBx_VBUS_FUNC_SLOT</t>
  </si>
  <si>
    <t>USBx_VBUS_PIN</t>
  </si>
  <si>
    <t>ISP_MISC_CFG</t>
  </si>
  <si>
    <t>ISP_UART_CUST</t>
  </si>
  <si>
    <t>ISP_I2C_CUST</t>
  </si>
  <si>
    <t>ISP_SPI_CUST</t>
  </si>
  <si>
    <t>ISP_USB_CUST</t>
  </si>
  <si>
    <t>I2C_SLAVE_ADDR</t>
  </si>
  <si>
    <t>FLASH_ACL_0_7</t>
  </si>
  <si>
    <t>ACL_SEC_7</t>
  </si>
  <si>
    <t>ACL_SEC_6</t>
  </si>
  <si>
    <t>ACL_SEC_5</t>
  </si>
  <si>
    <t>ACL_SEC_4</t>
  </si>
  <si>
    <t>ACL_SEC_3</t>
  </si>
  <si>
    <t>ACL_SEC_2</t>
  </si>
  <si>
    <t>ACL_SEC_1</t>
  </si>
  <si>
    <t>ACL_SEC_0</t>
  </si>
  <si>
    <t>FLASH_ACL_15_8</t>
  </si>
  <si>
    <t>ACL_SEC_15</t>
  </si>
  <si>
    <t>ACL_SEC_14</t>
  </si>
  <si>
    <t>ACL_SEC_13</t>
  </si>
  <si>
    <t>ACL_SEC_12</t>
  </si>
  <si>
    <t>ACL_SEC_11</t>
  </si>
  <si>
    <t>ACL_SEC_10</t>
  </si>
  <si>
    <t>ACL_SEC_9</t>
  </si>
  <si>
    <t>ACL_SEC_8</t>
  </si>
  <si>
    <t>FLASH_ACL_23_16</t>
  </si>
  <si>
    <t>ACL_SEC_23</t>
  </si>
  <si>
    <t>ACL_SEC_22</t>
  </si>
  <si>
    <t>ACL_SEC_21</t>
  </si>
  <si>
    <t>ACL_SEC_20</t>
  </si>
  <si>
    <t>ACL_SEC_19</t>
  </si>
  <si>
    <t>ACL_SEC_18</t>
  </si>
  <si>
    <t>ACL_SEC_17</t>
  </si>
  <si>
    <t>ACL_SEC_16</t>
  </si>
  <si>
    <t>FLASH_ACL_31_24)</t>
  </si>
  <si>
    <t>ACL_SEC_31</t>
  </si>
  <si>
    <t>ACL_SEC_30</t>
  </si>
  <si>
    <t>ACL_SEC_29</t>
  </si>
  <si>
    <t>ACL_SEC_28</t>
  </si>
  <si>
    <t>ACL_SEC_27</t>
  </si>
  <si>
    <t>ACL_SEC_26</t>
  </si>
  <si>
    <t>ACL_SEC_25</t>
  </si>
  <si>
    <t>ACL_SEC_24</t>
  </si>
  <si>
    <t>FLASH_ACL_39_32</t>
  </si>
  <si>
    <t>ACL_SEC_39</t>
  </si>
  <si>
    <t>ACL_SEC_38</t>
  </si>
  <si>
    <t>ACL_SEC_37</t>
  </si>
  <si>
    <t>ACL_SEC_36</t>
  </si>
  <si>
    <t>ACL_SEC_35</t>
  </si>
  <si>
    <t>ACL_SEC_34</t>
  </si>
  <si>
    <t>ACL_SEC_33</t>
  </si>
  <si>
    <t>ACL_SEC_32</t>
  </si>
  <si>
    <t>FLASH_ACL_47_40</t>
  </si>
  <si>
    <t>ACL_SEC_47</t>
  </si>
  <si>
    <t>ACL_SEC_46</t>
  </si>
  <si>
    <t>ACL_SEC_45</t>
  </si>
  <si>
    <t>ACL_SEC_44</t>
  </si>
  <si>
    <t>ACL_SEC_43</t>
  </si>
  <si>
    <t>ACL_SEC_42</t>
  </si>
  <si>
    <t>ACL_SEC_41</t>
  </si>
  <si>
    <t>ACL_SEC_40</t>
  </si>
  <si>
    <t>FLASH_ACL_55_48</t>
  </si>
  <si>
    <t>ACL_SEC_55</t>
  </si>
  <si>
    <t>ACL_SEC_54</t>
  </si>
  <si>
    <t>ACL_SEC_53</t>
  </si>
  <si>
    <t>ACL_SEC_52</t>
  </si>
  <si>
    <t>ACL_SEC_51</t>
  </si>
  <si>
    <t>ACL_SEC_50</t>
  </si>
  <si>
    <t>ACL_SEC_49</t>
  </si>
  <si>
    <t>ACL_SEC_48</t>
  </si>
  <si>
    <t>FLASH_ACL_63_56</t>
  </si>
  <si>
    <t>ACL_SEC_63</t>
  </si>
  <si>
    <t>ACL_SEC_62</t>
  </si>
  <si>
    <t>ACL_SEC_61</t>
  </si>
  <si>
    <t>ACL_SEC_60</t>
  </si>
  <si>
    <t>ACL_SEC_59</t>
  </si>
  <si>
    <t>ACL_SEC_58</t>
  </si>
  <si>
    <t>ACL_SEC_57</t>
  </si>
  <si>
    <t>ACL_SEC_56</t>
  </si>
  <si>
    <t>QUICK_SET_GPIO_0</t>
  </si>
  <si>
    <t>QUICK_SET_GPIO_0[31:0]</t>
  </si>
  <si>
    <t>QUICK_CLR_GPIO_0</t>
  </si>
  <si>
    <t>QUICK_CLR_GPIO_0[31:0]</t>
  </si>
  <si>
    <t>QUICK_SET_GPIO_1</t>
  </si>
  <si>
    <t>QUICK_SET_GPIO_1[31:0]</t>
  </si>
  <si>
    <t>QUICK_CLR_GPIO_1</t>
  </si>
  <si>
    <t>QUICK_CLR_GPIO_1[31:0]</t>
  </si>
  <si>
    <t>QUICK_SET_GPIO_2</t>
  </si>
  <si>
    <t>QUICK_SET_GPIO_2[31:0]</t>
  </si>
  <si>
    <t>QUICK_CLR_GPIO_2</t>
  </si>
  <si>
    <t>QUICK_CLR_GPIO_2[31:0]</t>
  </si>
  <si>
    <t>QUICK_SET_GPIO_3</t>
  </si>
  <si>
    <t>QUICK_SET_GPIO_3[31:0]</t>
  </si>
  <si>
    <t>QUICK_CLR_GPIO_3</t>
  </si>
  <si>
    <t>QUICK_CLR_GPIO_3[31:0]</t>
  </si>
  <si>
    <t>QUICK_SET_GPIO_4</t>
  </si>
  <si>
    <t>QUICK_SET_GPIO_4[31:0]</t>
  </si>
  <si>
    <t>QUICK_CLR_GPIO_4</t>
  </si>
  <si>
    <t>QUICK_CLR_GPIO_4[31:0]</t>
  </si>
  <si>
    <t xml:space="preserve">Reserved </t>
  </si>
  <si>
    <t>ROP_STATE</t>
  </si>
  <si>
    <t>ROP_STATE_DP</t>
  </si>
  <si>
    <t xml:space="preserve">CMPA _CRC32 </t>
  </si>
  <si>
    <t>CMPA_CRC32 for address range 0x0100_0000 - 0x0100_008C</t>
  </si>
  <si>
    <t>0100_2000
to
0100_7FFF</t>
  </si>
  <si>
    <t>Not Supported</t>
  </si>
  <si>
    <t>Flash Loader (24KB)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</si>
</sst>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rgb="FF000000"/>
      <name val="DengXian"/>
      <family val="2"/>
      <charset val="1"/>
    </font>
    <font>
      <sz val="12"/>
      <color rgb="FFFFFFFF"/>
      <name val="DengXian"/>
      <family val="2"/>
      <charset val="1"/>
    </font>
    <font>
      <b/>
      <sz val="8"/>
      <color rgb="FF000000"/>
      <name val="DengXian"/>
      <family val="2"/>
      <charset val="1"/>
    </font>
    <font>
      <sz val="8"/>
      <color rgb="FF000000"/>
      <name val="DengXian"/>
      <family val="2"/>
      <charset val="1"/>
    </font>
    <font>
      <b/>
      <sz val="26"/>
      <color rgb="FF000000"/>
      <name val="DengXian"/>
      <family val="2"/>
      <charset val="1"/>
    </font>
    <font>
      <sz val="11"/>
      <color rgb="FF000000"/>
      <name val="DengXian"/>
      <charset val="134"/>
    </font>
    <font>
      <b/>
      <sz val="11"/>
      <color rgb="FF000000"/>
      <name val="DengXian"/>
      <charset val="134"/>
    </font>
    <font>
      <sz val="8"/>
      <color rgb="FF000000"/>
      <name val="DengXian"/>
      <charset val="134"/>
    </font>
    <font>
      <b/>
      <sz val="8"/>
      <color rgb="FF000000"/>
      <name val="DengXian"/>
      <charset val="134"/>
    </font>
    <font>
      <sz val="8"/>
      <name val="DengXian"/>
      <family val="2"/>
      <charset val="1"/>
    </font>
    <font>
      <sz val="9"/>
      <color rgb="FF000000"/>
      <name val="DengXian"/>
      <charset val="134"/>
    </font>
    <font>
      <sz val="14"/>
      <color rgb="FF000000"/>
      <name val="DengXian"/>
      <charset val="134"/>
    </font>
    <font>
      <sz val="12"/>
      <color rgb="FF000000"/>
      <name val="DengXian"/>
      <charset val="134"/>
    </font>
    <font>
      <sz val="10"/>
      <name val="DengXian"/>
      <charset val="134"/>
    </font>
    <font>
      <b/>
      <sz val="48"/>
      <color rgb="FF000000"/>
      <name val="DengXian"/>
      <charset val="134"/>
    </font>
    <font>
      <b/>
      <sz val="20"/>
      <color rgb="FF000000"/>
      <name val="DengXian"/>
      <family val="2"/>
      <charset val="1"/>
    </font>
    <font>
      <b/>
      <sz val="48"/>
      <color rgb="FF000000"/>
      <name val="DengXian"/>
      <family val="2"/>
      <charset val="1"/>
    </font>
    <font>
      <b/>
      <sz val="28"/>
      <color rgb="FF000000"/>
      <name val="DengXian"/>
      <charset val="134"/>
    </font>
    <font>
      <sz val="9"/>
      <color rgb="FF000000"/>
      <name val="Tahoma"/>
      <family val="2"/>
      <charset val="1"/>
    </font>
    <font>
      <b/>
      <sz val="9"/>
      <color rgb="FF000000"/>
      <name val="Tahoma"/>
      <family val="2"/>
      <charset val="1"/>
    </font>
    <font>
      <sz val="11"/>
      <color rgb="FF3F3F76"/>
      <name val="等线"/>
      <family val="2"/>
      <charset val="134"/>
    </font>
  </fonts>
  <fills count="12">
    <fill>
      <patternFill patternType="none"/>
    </fill>
    <fill>
      <patternFill patternType="gray125"/>
    </fill>
    <fill>
      <patternFill patternType="solid">
        <fgColor rgb="FFFFCC99"/>
        <bgColor rgb="FFF4B183"/>
      </patternFill>
    </fill>
    <fill>
      <patternFill patternType="solid">
        <fgColor rgb="FF98FB98"/>
        <bgColor rgb="FFCCFFFF"/>
      </patternFill>
    </fill>
    <fill>
      <patternFill patternType="solid">
        <fgColor rgb="FFD2691E"/>
        <bgColor rgb="FFC55A11"/>
      </patternFill>
    </fill>
    <fill>
      <patternFill patternType="solid">
        <fgColor rgb="FFFFA500"/>
        <bgColor rgb="FFFFCC00"/>
      </patternFill>
    </fill>
    <fill>
      <patternFill patternType="solid">
        <fgColor rgb="FF000000"/>
        <bgColor rgb="FF200040"/>
      </patternFill>
    </fill>
    <fill>
      <patternFill patternType="solid">
        <fgColor rgb="FFFFFFFF"/>
        <bgColor rgb="FFFFFFCC"/>
      </patternFill>
    </fill>
    <fill>
      <patternFill patternType="solid">
        <fgColor rgb="FFB2B2B2"/>
        <bgColor rgb="FFA6A6A6"/>
      </patternFill>
    </fill>
    <fill>
      <patternFill patternType="solid">
        <fgColor rgb="FFD9D9D9"/>
        <bgColor rgb="FFDCDCDC"/>
      </patternFill>
    </fill>
    <fill>
      <patternFill patternType="solid">
        <fgColor rgb="FFDCDCDC"/>
        <bgColor rgb="FFD9D9D9"/>
      </patternFill>
    </fill>
    <fill>
      <patternFill patternType="solid">
        <fgColor rgb="FFCCCCCC"/>
        <bgColor rgb="FFD9D9D9"/>
      </patternFill>
    </fill>
  </fills>
  <borders count="31">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bottom/>
      <diagonal/>
    </border>
    <border>
      <left style="thin">
        <color rgb="FF7F7F7F"/>
      </left>
      <right style="thin">
        <color rgb="FF7F7F7F"/>
      </right>
      <top/>
      <bottom style="thin">
        <color rgb="FF7F7F7F"/>
      </bottom>
      <diagonal/>
    </border>
    <border>
      <left style="hair">
        <color auto="1"/>
      </left>
      <right style="hair">
        <color auto="1"/>
      </right>
      <top style="hair">
        <color auto="1"/>
      </top>
      <bottom style="hair">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thin">
        <color auto="1"/>
      </right>
      <top style="thin">
        <color auto="1"/>
      </top>
      <bottom/>
      <diagonal/>
    </border>
    <border>
      <left/>
      <right style="medium">
        <color auto="1"/>
      </right>
      <top/>
      <bottom/>
      <diagonal/>
    </border>
    <border>
      <left style="thin">
        <color auto="1"/>
      </left>
      <right style="thin">
        <color auto="1"/>
      </right>
      <top style="medium">
        <color auto="1"/>
      </top>
      <bottom/>
      <diagonal/>
    </border>
    <border>
      <left style="thin">
        <color auto="1"/>
      </left>
      <right style="thin">
        <color auto="1"/>
      </right>
      <top/>
      <bottom/>
      <diagonal/>
    </border>
    <border>
      <left style="thin">
        <color auto="1"/>
      </left>
      <right style="thin">
        <color auto="1"/>
      </right>
      <top style="medium">
        <color auto="1"/>
      </top>
      <bottom style="thin">
        <color auto="1"/>
      </bottom>
      <diagonal/>
    </border>
    <border>
      <left style="thin">
        <color auto="1"/>
      </left>
      <right style="thin">
        <color auto="1"/>
      </right>
      <top style="dashed">
        <color auto="1"/>
      </top>
      <bottom style="dashed">
        <color auto="1"/>
      </bottom>
      <diagonal/>
    </border>
    <border>
      <left style="thin">
        <color auto="1"/>
      </left>
      <right style="thin">
        <color auto="1"/>
      </right>
      <top style="thin">
        <color auto="1"/>
      </top>
      <bottom style="dashed">
        <color auto="1"/>
      </bottom>
      <diagonal/>
    </border>
    <border>
      <left style="thin">
        <color auto="1"/>
      </left>
      <right/>
      <top style="thin">
        <color auto="1"/>
      </top>
      <bottom style="dashed">
        <color auto="1"/>
      </bottom>
      <diagonal/>
    </border>
    <border>
      <left style="thin">
        <color auto="1"/>
      </left>
      <right style="thin">
        <color auto="1"/>
      </right>
      <top style="dashed">
        <color auto="1"/>
      </top>
      <bottom style="thin">
        <color auto="1"/>
      </bottom>
      <diagonal/>
    </border>
    <border>
      <left style="thin">
        <color auto="1"/>
      </left>
      <right style="thin">
        <color auto="1"/>
      </right>
      <top/>
      <bottom style="thin">
        <color auto="1"/>
      </bottom>
      <diagonal/>
    </border>
    <border>
      <left style="thin">
        <color auto="1"/>
      </left>
      <right style="medium">
        <color auto="1"/>
      </right>
      <top style="dashed">
        <color auto="1"/>
      </top>
      <bottom style="dashed">
        <color auto="1"/>
      </bottom>
      <diagonal/>
    </border>
    <border>
      <left style="thin">
        <color auto="1"/>
      </left>
      <right/>
      <top style="dashed">
        <color auto="1"/>
      </top>
      <bottom style="thin">
        <color auto="1"/>
      </bottom>
      <diagonal/>
    </border>
    <border>
      <left style="thin">
        <color auto="1"/>
      </left>
      <right style="medium">
        <color auto="1"/>
      </right>
      <top style="dashed">
        <color auto="1"/>
      </top>
      <bottom style="thin">
        <color auto="1"/>
      </bottom>
      <diagonal/>
    </border>
    <border>
      <left style="thin">
        <color auto="1"/>
      </left>
      <right/>
      <top/>
      <bottom style="thin">
        <color auto="1"/>
      </bottom>
      <diagonal/>
    </border>
    <border>
      <left style="thin">
        <color auto="1"/>
      </left>
      <right/>
      <top/>
      <bottom style="hair">
        <color auto="1"/>
      </bottom>
      <diagonal/>
    </border>
    <border>
      <left style="thin">
        <color auto="1"/>
      </left>
      <right/>
      <top/>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s>
  <cellStyleXfs count="2">
    <xf numFmtId="0" fontId="0" fillId="0" borderId="0"/>
    <xf numFmtId="0" fontId="20" fillId="2" borderId="1" applyProtection="0"/>
  </cellStyleXfs>
  <cellXfs count="99">
    <xf numFmtId="0" fontId="0" fillId="0" borderId="0" xfId="0"/>
    <xf numFmtId="0" fontId="0" fillId="0" borderId="0" xfId="0" applyAlignment="1" applyProtection="1"/>
    <xf numFmtId="0" fontId="0" fillId="0" borderId="2" xfId="0" applyFont="1" applyBorder="1" applyAlignment="1" applyProtection="1"/>
    <xf numFmtId="0" fontId="0" fillId="0" borderId="0" xfId="0" applyAlignment="1" applyProtection="1">
      <alignment wrapText="1"/>
    </xf>
    <xf numFmtId="0" fontId="0" fillId="3" borderId="2" xfId="0" applyFill="1" applyBorder="1" applyAlignment="1" applyProtection="1"/>
    <xf numFmtId="0" fontId="0" fillId="0" borderId="0" xfId="0" applyFont="1" applyAlignment="1" applyProtection="1">
      <alignment vertical="top"/>
    </xf>
    <xf numFmtId="0" fontId="0" fillId="3" borderId="2" xfId="0" applyFont="1" applyFill="1" applyBorder="1" applyAlignment="1" applyProtection="1">
      <alignment horizontal="center" wrapText="1"/>
    </xf>
    <xf numFmtId="0" fontId="0" fillId="0" borderId="0" xfId="0" applyAlignment="1" applyProtection="1">
      <alignment vertical="top" wrapText="1"/>
    </xf>
    <xf numFmtId="0" fontId="0" fillId="0" borderId="6" xfId="0" applyBorder="1" applyAlignment="1" applyProtection="1">
      <alignment vertical="center"/>
    </xf>
    <xf numFmtId="0" fontId="0" fillId="4" borderId="4" xfId="0" applyFont="1" applyFill="1" applyBorder="1" applyAlignment="1" applyProtection="1">
      <alignment vertical="center"/>
    </xf>
    <xf numFmtId="0" fontId="0" fillId="0" borderId="7" xfId="0" applyFont="1" applyBorder="1" applyAlignment="1" applyProtection="1">
      <alignment vertical="top" wrapText="1"/>
    </xf>
    <xf numFmtId="0" fontId="0" fillId="5" borderId="4" xfId="0" applyFont="1" applyFill="1" applyBorder="1" applyAlignment="1" applyProtection="1">
      <alignment vertical="center"/>
    </xf>
    <xf numFmtId="0" fontId="0" fillId="0" borderId="8" xfId="0" applyBorder="1" applyAlignment="1" applyProtection="1"/>
    <xf numFmtId="0" fontId="1" fillId="6" borderId="9" xfId="0" applyFont="1" applyFill="1" applyBorder="1" applyAlignment="1" applyProtection="1"/>
    <xf numFmtId="0" fontId="0" fillId="0" borderId="9" xfId="0" applyFont="1" applyBorder="1" applyAlignment="1" applyProtection="1"/>
    <xf numFmtId="0" fontId="2" fillId="0" borderId="0" xfId="0" applyFont="1" applyAlignment="1" applyProtection="1">
      <alignment horizontal="center" vertical="center" wrapText="1"/>
    </xf>
    <xf numFmtId="0" fontId="3" fillId="0" borderId="10" xfId="0" applyFont="1" applyBorder="1" applyAlignment="1" applyProtection="1">
      <alignment horizontal="center" vertical="center"/>
    </xf>
    <xf numFmtId="0" fontId="3" fillId="0" borderId="11" xfId="0" applyFont="1" applyBorder="1" applyAlignment="1" applyProtection="1">
      <alignment horizontal="center" vertical="center"/>
    </xf>
    <xf numFmtId="0" fontId="3" fillId="0" borderId="2" xfId="0" applyFont="1" applyBorder="1" applyAlignment="1" applyProtection="1">
      <alignment horizontal="center" vertical="center"/>
    </xf>
    <xf numFmtId="0" fontId="3" fillId="0" borderId="0" xfId="0" applyFont="1" applyAlignment="1" applyProtection="1">
      <alignment horizontal="center" vertical="center"/>
    </xf>
    <xf numFmtId="0" fontId="3" fillId="0" borderId="0" xfId="0" applyFont="1" applyAlignment="1" applyProtection="1"/>
    <xf numFmtId="0" fontId="3" fillId="0" borderId="12" xfId="0" applyFont="1" applyBorder="1" applyAlignment="1" applyProtection="1">
      <alignment horizontal="center" vertical="center"/>
    </xf>
    <xf numFmtId="0" fontId="3" fillId="0" borderId="13" xfId="0" applyFont="1" applyBorder="1" applyAlignment="1" applyProtection="1">
      <alignment horizontal="center" vertical="center" wrapText="1"/>
    </xf>
    <xf numFmtId="0" fontId="3" fillId="0" borderId="13" xfId="0" applyFont="1" applyBorder="1" applyAlignment="1" applyProtection="1">
      <alignment horizontal="center" vertical="center"/>
    </xf>
    <xf numFmtId="0" fontId="3" fillId="0" borderId="15" xfId="0" applyFont="1" applyBorder="1" applyAlignment="1" applyProtection="1">
      <alignment horizontal="center" vertical="center"/>
    </xf>
    <xf numFmtId="0" fontId="3" fillId="0" borderId="16" xfId="0" applyFont="1" applyBorder="1" applyAlignment="1" applyProtection="1">
      <alignment horizontal="center" vertical="center"/>
    </xf>
    <xf numFmtId="0" fontId="7" fillId="8" borderId="18" xfId="0" applyFont="1" applyFill="1" applyBorder="1" applyAlignment="1" applyProtection="1"/>
    <xf numFmtId="0" fontId="7" fillId="8" borderId="13" xfId="0" applyFont="1" applyFill="1" applyBorder="1" applyAlignment="1" applyProtection="1">
      <alignment horizontal="center"/>
    </xf>
    <xf numFmtId="0" fontId="7" fillId="8" borderId="20" xfId="0" applyFont="1" applyFill="1" applyBorder="1" applyAlignment="1" applyProtection="1">
      <alignment horizontal="center"/>
    </xf>
    <xf numFmtId="0" fontId="3" fillId="0" borderId="18" xfId="0" applyFont="1" applyBorder="1" applyAlignment="1" applyProtection="1">
      <alignment horizontal="center" vertical="center"/>
    </xf>
    <xf numFmtId="0" fontId="3" fillId="0" borderId="22" xfId="0" applyFont="1" applyBorder="1" applyAlignment="1" applyProtection="1">
      <alignment horizontal="center" vertical="center"/>
    </xf>
    <xf numFmtId="0" fontId="7" fillId="8" borderId="19" xfId="0" applyFont="1" applyFill="1" applyBorder="1" applyAlignment="1" applyProtection="1"/>
    <xf numFmtId="0" fontId="7" fillId="8" borderId="16" xfId="0" applyFont="1" applyFill="1" applyBorder="1" applyAlignment="1" applyProtection="1"/>
    <xf numFmtId="0" fontId="7" fillId="8" borderId="13" xfId="0" applyFont="1" applyFill="1" applyBorder="1" applyAlignment="1" applyProtection="1"/>
    <xf numFmtId="0" fontId="7" fillId="9" borderId="13" xfId="0" applyFont="1" applyFill="1" applyBorder="1" applyAlignment="1" applyProtection="1"/>
    <xf numFmtId="0" fontId="7" fillId="9" borderId="18" xfId="0" applyFont="1" applyFill="1" applyBorder="1" applyAlignment="1" applyProtection="1"/>
    <xf numFmtId="0" fontId="7" fillId="10" borderId="16" xfId="0" applyFont="1" applyFill="1" applyBorder="1" applyAlignment="1" applyProtection="1"/>
    <xf numFmtId="0" fontId="7" fillId="9" borderId="16" xfId="0" applyFont="1" applyFill="1" applyBorder="1" applyAlignment="1" applyProtection="1"/>
    <xf numFmtId="0" fontId="3" fillId="8" borderId="18" xfId="0" applyFont="1" applyFill="1" applyBorder="1" applyAlignment="1" applyProtection="1">
      <alignment horizontal="center" vertical="center"/>
    </xf>
    <xf numFmtId="0" fontId="7" fillId="8" borderId="2" xfId="0" applyFont="1" applyFill="1" applyBorder="1" applyAlignment="1" applyProtection="1"/>
    <xf numFmtId="0" fontId="7" fillId="8" borderId="2" xfId="0" applyFont="1" applyFill="1" applyBorder="1" applyAlignment="1" applyProtection="1">
      <alignment horizontal="center" vertical="center"/>
    </xf>
    <xf numFmtId="0" fontId="9" fillId="8" borderId="18" xfId="0" applyFont="1" applyFill="1" applyBorder="1" applyAlignment="1" applyProtection="1">
      <alignment horizontal="center" vertical="center"/>
    </xf>
    <xf numFmtId="0" fontId="7" fillId="0" borderId="22" xfId="0" applyFont="1" applyBorder="1" applyAlignment="1" applyProtection="1">
      <alignment vertical="center"/>
    </xf>
    <xf numFmtId="0" fontId="7" fillId="0" borderId="26" xfId="0" applyFont="1" applyBorder="1" applyAlignment="1" applyProtection="1">
      <alignment vertical="center"/>
    </xf>
    <xf numFmtId="0" fontId="12" fillId="0" borderId="22" xfId="0" applyFont="1" applyBorder="1" applyAlignment="1" applyProtection="1">
      <alignment vertical="center"/>
    </xf>
    <xf numFmtId="0" fontId="7" fillId="0" borderId="21" xfId="0" applyFont="1" applyBorder="1" applyAlignment="1" applyProtection="1">
      <alignment vertical="center"/>
    </xf>
    <xf numFmtId="0" fontId="7" fillId="0" borderId="24" xfId="0" applyFont="1" applyBorder="1" applyAlignment="1" applyProtection="1">
      <alignment vertical="center"/>
    </xf>
    <xf numFmtId="0" fontId="7" fillId="0" borderId="2" xfId="0" applyFont="1" applyBorder="1" applyAlignment="1" applyProtection="1">
      <alignment vertical="center"/>
    </xf>
    <xf numFmtId="0" fontId="12" fillId="0" borderId="2" xfId="0" applyFont="1" applyBorder="1" applyAlignment="1" applyProtection="1">
      <alignment vertical="center"/>
    </xf>
    <xf numFmtId="0" fontId="3" fillId="11" borderId="18" xfId="0" applyFont="1" applyFill="1" applyBorder="1" applyAlignment="1" applyProtection="1">
      <alignment horizontal="center" vertical="center"/>
    </xf>
    <xf numFmtId="0" fontId="3" fillId="11" borderId="22" xfId="0" applyFont="1" applyFill="1" applyBorder="1" applyAlignment="1" applyProtection="1">
      <alignment horizontal="center" vertical="center"/>
    </xf>
    <xf numFmtId="0" fontId="3" fillId="11" borderId="2" xfId="0" applyFont="1" applyFill="1" applyBorder="1" applyAlignment="1" applyProtection="1">
      <alignment horizontal="center" vertical="center"/>
    </xf>
    <xf numFmtId="0" fontId="14" fillId="11" borderId="28" xfId="0" applyFont="1" applyFill="1" applyBorder="1" applyAlignment="1" applyProtection="1">
      <alignment vertical="center"/>
    </xf>
    <xf numFmtId="0" fontId="14" fillId="11" borderId="0" xfId="0" applyFont="1" applyFill="1" applyAlignment="1" applyProtection="1">
      <alignment vertical="center"/>
    </xf>
    <xf numFmtId="0" fontId="15" fillId="0" borderId="0" xfId="0" applyFont="1" applyAlignment="1" applyProtection="1">
      <alignment horizontal="left" vertical="center"/>
    </xf>
    <xf numFmtId="0" fontId="3" fillId="0" borderId="16" xfId="0" applyFont="1" applyBorder="1" applyAlignment="1" applyProtection="1">
      <alignment horizontal="center" vertical="center" wrapText="1"/>
    </xf>
    <xf numFmtId="0" fontId="3" fillId="0" borderId="29" xfId="0" applyFont="1" applyBorder="1" applyAlignment="1" applyProtection="1">
      <alignment horizontal="center" vertical="center"/>
    </xf>
    <xf numFmtId="0" fontId="0" fillId="3" borderId="2" xfId="0" applyFont="1" applyFill="1" applyBorder="1" applyAlignment="1" applyProtection="1">
      <alignment horizontal="center" vertical="center" wrapText="1"/>
    </xf>
    <xf numFmtId="0" fontId="0" fillId="0" borderId="5" xfId="0" applyBorder="1" applyAlignment="1" applyProtection="1">
      <alignment horizontal="center" vertical="center"/>
    </xf>
    <xf numFmtId="0" fontId="0" fillId="0" borderId="7" xfId="0" applyBorder="1" applyAlignment="1" applyProtection="1">
      <alignment wrapText="1"/>
    </xf>
    <xf numFmtId="0" fontId="0" fillId="3" borderId="3" xfId="0" applyFont="1" applyFill="1" applyBorder="1" applyAlignment="1" applyProtection="1">
      <alignment horizontal="center" vertical="center" wrapText="1"/>
    </xf>
    <xf numFmtId="0" fontId="0" fillId="3" borderId="4" xfId="0" applyFont="1" applyFill="1" applyBorder="1" applyAlignment="1" applyProtection="1">
      <alignment horizontal="center" vertical="center" wrapText="1"/>
    </xf>
    <xf numFmtId="0" fontId="0" fillId="3" borderId="5" xfId="0" applyFont="1" applyFill="1" applyBorder="1" applyAlignment="1" applyProtection="1">
      <alignment horizontal="center" vertical="center" wrapText="1"/>
    </xf>
    <xf numFmtId="0" fontId="15" fillId="0" borderId="12" xfId="0" applyFont="1" applyBorder="1" applyAlignment="1" applyProtection="1">
      <alignment horizontal="left" vertical="center"/>
    </xf>
    <xf numFmtId="0" fontId="3" fillId="0" borderId="2" xfId="0" applyFont="1" applyBorder="1" applyAlignment="1" applyProtection="1">
      <alignment horizontal="center" vertical="center"/>
    </xf>
    <xf numFmtId="0" fontId="7" fillId="11" borderId="2" xfId="0" applyFont="1" applyFill="1" applyBorder="1" applyAlignment="1" applyProtection="1">
      <alignment horizontal="center" vertical="center"/>
    </xf>
    <xf numFmtId="0" fontId="13" fillId="0" borderId="25" xfId="0" applyFont="1" applyBorder="1" applyAlignment="1" applyProtection="1">
      <alignment horizontal="center"/>
    </xf>
    <xf numFmtId="0" fontId="13" fillId="11" borderId="25" xfId="0" applyFont="1" applyFill="1" applyBorder="1" applyAlignment="1" applyProtection="1">
      <alignment horizontal="center"/>
    </xf>
    <xf numFmtId="0" fontId="10" fillId="11" borderId="27" xfId="0" applyFont="1" applyFill="1" applyBorder="1" applyAlignment="1" applyProtection="1">
      <alignment horizontal="center" vertical="center"/>
    </xf>
    <xf numFmtId="0" fontId="16" fillId="0" borderId="14" xfId="0" applyFont="1" applyBorder="1" applyAlignment="1" applyProtection="1">
      <alignment textRotation="90"/>
    </xf>
    <xf numFmtId="0" fontId="3" fillId="0" borderId="2" xfId="0" applyFont="1" applyBorder="1" applyAlignment="1" applyProtection="1">
      <alignment horizontal="center" vertical="center" wrapText="1"/>
    </xf>
    <xf numFmtId="0" fontId="17" fillId="0" borderId="30" xfId="0" applyFont="1" applyBorder="1" applyAlignment="1" applyProtection="1">
      <alignment horizontal="center" vertical="center"/>
    </xf>
    <xf numFmtId="0" fontId="7" fillId="0" borderId="2" xfId="0" applyFont="1" applyBorder="1" applyAlignment="1" applyProtection="1">
      <alignment horizontal="center" vertical="center"/>
    </xf>
    <xf numFmtId="0" fontId="7" fillId="0" borderId="2" xfId="0" applyFont="1" applyBorder="1" applyAlignment="1" applyProtection="1">
      <alignment horizontal="center"/>
    </xf>
    <xf numFmtId="0" fontId="7" fillId="11" borderId="2" xfId="0" applyFont="1" applyFill="1" applyBorder="1" applyAlignment="1" applyProtection="1">
      <alignment horizontal="center"/>
    </xf>
    <xf numFmtId="0" fontId="7" fillId="0" borderId="22" xfId="0" applyFont="1" applyBorder="1" applyAlignment="1" applyProtection="1">
      <alignment horizontal="center" vertical="center"/>
    </xf>
    <xf numFmtId="0" fontId="8" fillId="8" borderId="2" xfId="0" applyFont="1" applyFill="1" applyBorder="1" applyAlignment="1" applyProtection="1">
      <alignment horizontal="center"/>
    </xf>
    <xf numFmtId="0" fontId="10" fillId="8" borderId="2" xfId="0" applyFont="1" applyFill="1" applyBorder="1" applyAlignment="1" applyProtection="1">
      <alignment horizontal="center"/>
    </xf>
    <xf numFmtId="0" fontId="11" fillId="8" borderId="2" xfId="0" applyFont="1" applyFill="1" applyBorder="1" applyAlignment="1" applyProtection="1">
      <alignment horizontal="center" vertical="center"/>
    </xf>
    <xf numFmtId="0" fontId="7" fillId="7" borderId="2" xfId="0" applyFont="1" applyFill="1" applyBorder="1" applyAlignment="1" applyProtection="1">
      <alignment horizontal="center"/>
    </xf>
    <xf numFmtId="0" fontId="7" fillId="7" borderId="20" xfId="0" applyFont="1" applyFill="1" applyBorder="1" applyAlignment="1" applyProtection="1">
      <alignment horizontal="center"/>
    </xf>
    <xf numFmtId="0" fontId="7" fillId="7" borderId="19" xfId="0" applyFont="1" applyFill="1" applyBorder="1" applyAlignment="1" applyProtection="1">
      <alignment horizontal="center"/>
    </xf>
    <xf numFmtId="0" fontId="7" fillId="7" borderId="18" xfId="0" applyFont="1" applyFill="1" applyBorder="1" applyAlignment="1" applyProtection="1">
      <alignment horizontal="center"/>
    </xf>
    <xf numFmtId="0" fontId="7" fillId="7" borderId="23" xfId="0" applyFont="1" applyFill="1" applyBorder="1" applyAlignment="1" applyProtection="1">
      <alignment horizontal="center"/>
    </xf>
    <xf numFmtId="0" fontId="7" fillId="10" borderId="21" xfId="0" applyFont="1" applyFill="1" applyBorder="1" applyAlignment="1" applyProtection="1">
      <alignment horizontal="center"/>
    </xf>
    <xf numFmtId="0" fontId="7" fillId="7" borderId="24" xfId="0" applyFont="1" applyFill="1" applyBorder="1" applyAlignment="1" applyProtection="1">
      <alignment horizontal="center" vertical="center"/>
    </xf>
    <xf numFmtId="0" fontId="7" fillId="10" borderId="24" xfId="0" applyFont="1" applyFill="1" applyBorder="1" applyAlignment="1" applyProtection="1">
      <alignment horizontal="center" vertical="center"/>
    </xf>
    <xf numFmtId="0" fontId="7" fillId="7" borderId="25" xfId="0" applyFont="1" applyFill="1" applyBorder="1" applyAlignment="1" applyProtection="1">
      <alignment horizontal="center"/>
    </xf>
    <xf numFmtId="0" fontId="7" fillId="8" borderId="18" xfId="0" applyFont="1" applyFill="1" applyBorder="1" applyAlignment="1" applyProtection="1">
      <alignment horizontal="center"/>
    </xf>
    <xf numFmtId="0" fontId="7" fillId="8" borderId="20" xfId="0" applyFont="1" applyFill="1" applyBorder="1" applyAlignment="1" applyProtection="1">
      <alignment horizontal="center"/>
    </xf>
    <xf numFmtId="0" fontId="7" fillId="8" borderId="19" xfId="0" applyFont="1" applyFill="1" applyBorder="1" applyAlignment="1" applyProtection="1">
      <alignment horizontal="center"/>
    </xf>
    <xf numFmtId="0" fontId="4" fillId="0" borderId="14" xfId="0" applyFont="1" applyBorder="1" applyAlignment="1" applyProtection="1">
      <alignment horizontal="center" vertical="center" textRotation="90"/>
    </xf>
    <xf numFmtId="0" fontId="5" fillId="0" borderId="17" xfId="0" applyFont="1" applyBorder="1" applyAlignment="1" applyProtection="1">
      <alignment horizontal="center" vertical="center"/>
    </xf>
    <xf numFmtId="0" fontId="7" fillId="0" borderId="18" xfId="0" applyFont="1" applyBorder="1" applyAlignment="1" applyProtection="1">
      <alignment horizontal="center" vertical="center"/>
    </xf>
    <xf numFmtId="0" fontId="7" fillId="7" borderId="13" xfId="0" applyFont="1" applyFill="1" applyBorder="1" applyAlignment="1" applyProtection="1">
      <alignment horizontal="center"/>
    </xf>
    <xf numFmtId="0" fontId="7" fillId="8" borderId="2" xfId="0" applyFont="1" applyFill="1" applyBorder="1" applyAlignment="1" applyProtection="1">
      <alignment horizontal="center"/>
    </xf>
    <xf numFmtId="0" fontId="7" fillId="0" borderId="21" xfId="0" applyFont="1" applyBorder="1" applyAlignment="1" applyProtection="1">
      <alignment horizontal="center"/>
    </xf>
    <xf numFmtId="0" fontId="7" fillId="8" borderId="21" xfId="0" applyFont="1" applyFill="1" applyBorder="1" applyAlignment="1" applyProtection="1">
      <alignment horizontal="center"/>
      <protection locked="0"/>
    </xf>
    <xf numFmtId="0" fontId="7" fillId="0" borderId="21" xfId="0" applyFont="1" applyBorder="1" applyAlignment="1" applyProtection="1">
      <alignment horizontal="center"/>
      <protection locked="0"/>
    </xf>
  </cellXfs>
  <cellStyles count="2">
    <cellStyle name="Excel Built-in Explanatory Text"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7F"/>
      <rgbColor rgb="FF00FFFF"/>
      <rgbColor rgb="FF800000"/>
      <rgbColor rgb="FF008000"/>
      <rgbColor rgb="FF200040"/>
      <rgbColor rgb="FF808000"/>
      <rgbColor rgb="FF800080"/>
      <rgbColor rgb="FF008080"/>
      <rgbColor rgb="FFCCCCCC"/>
      <rgbColor rgb="FF7F7F7F"/>
      <rgbColor rgb="FFB2B2B2"/>
      <rgbColor rgb="FFC55A11"/>
      <rgbColor rgb="FFFFFFCC"/>
      <rgbColor rgb="FF98FB9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CDCDC"/>
      <rgbColor rgb="FFFFFF99"/>
      <rgbColor rgb="FF99CCFF"/>
      <rgbColor rgb="FFF4B183"/>
      <rgbColor rgb="FFCC99FF"/>
      <rgbColor rgb="FFFFCC99"/>
      <rgbColor rgb="FF3366FF"/>
      <rgbColor rgb="FF33CCCC"/>
      <rgbColor rgb="FF99CC00"/>
      <rgbColor rgb="FFFFCC00"/>
      <rgbColor rgb="FFFFA500"/>
      <rgbColor rgb="FFD2691E"/>
      <rgbColor rgb="FF666699"/>
      <rgbColor rgb="FFA6A6A6"/>
      <rgbColor rgb="FF003366"/>
      <rgbColor rgb="FF339966"/>
      <rgbColor rgb="FF003300"/>
      <rgbColor rgb="FF333300"/>
      <rgbColor rgb="FFC9211E"/>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9</xdr:col>
      <xdr:colOff>331560</xdr:colOff>
      <xdr:row>36</xdr:row>
      <xdr:rowOff>76680</xdr:rowOff>
    </xdr:to>
    <xdr:sp macro="" textlink="">
      <xdr:nvSpPr>
        <xdr:cNvPr id="2" name="CustomShape 1" hidden="1">
          <a:extLst>
            <a:ext uri="{FF2B5EF4-FFF2-40B4-BE49-F238E27FC236}">
              <a16:creationId xmlns:a16="http://schemas.microsoft.com/office/drawing/2014/main" id="{00000000-0008-0000-0500-000002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3" name="CustomShape 1" hidden="1">
          <a:extLst>
            <a:ext uri="{FF2B5EF4-FFF2-40B4-BE49-F238E27FC236}">
              <a16:creationId xmlns:a16="http://schemas.microsoft.com/office/drawing/2014/main" id="{00000000-0008-0000-0500-000003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4" name="CustomShape 1" hidden="1">
          <a:extLst>
            <a:ext uri="{FF2B5EF4-FFF2-40B4-BE49-F238E27FC236}">
              <a16:creationId xmlns:a16="http://schemas.microsoft.com/office/drawing/2014/main" id="{00000000-0008-0000-0500-000004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5" name="CustomShape 1" hidden="1">
          <a:extLst>
            <a:ext uri="{FF2B5EF4-FFF2-40B4-BE49-F238E27FC236}">
              <a16:creationId xmlns:a16="http://schemas.microsoft.com/office/drawing/2014/main" id="{00000000-0008-0000-0500-000005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6" name="CustomShape 1" hidden="1">
          <a:extLst>
            <a:ext uri="{FF2B5EF4-FFF2-40B4-BE49-F238E27FC236}">
              <a16:creationId xmlns:a16="http://schemas.microsoft.com/office/drawing/2014/main" id="{00000000-0008-0000-0500-000006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7" name="CustomShape 1" hidden="1">
          <a:extLst>
            <a:ext uri="{FF2B5EF4-FFF2-40B4-BE49-F238E27FC236}">
              <a16:creationId xmlns:a16="http://schemas.microsoft.com/office/drawing/2014/main" id="{00000000-0008-0000-0500-000007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8" name="CustomShape 1" hidden="1">
          <a:extLst>
            <a:ext uri="{FF2B5EF4-FFF2-40B4-BE49-F238E27FC236}">
              <a16:creationId xmlns:a16="http://schemas.microsoft.com/office/drawing/2014/main" id="{00000000-0008-0000-0500-000008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9" name="CustomShape 1" hidden="1">
          <a:extLst>
            <a:ext uri="{FF2B5EF4-FFF2-40B4-BE49-F238E27FC236}">
              <a16:creationId xmlns:a16="http://schemas.microsoft.com/office/drawing/2014/main" id="{00000000-0008-0000-0500-000009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10" name="CustomShape 1" hidden="1">
          <a:extLst>
            <a:ext uri="{FF2B5EF4-FFF2-40B4-BE49-F238E27FC236}">
              <a16:creationId xmlns:a16="http://schemas.microsoft.com/office/drawing/2014/main" id="{00000000-0008-0000-0500-00000A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11" name="CustomShape 1" hidden="1">
          <a:extLst>
            <a:ext uri="{FF2B5EF4-FFF2-40B4-BE49-F238E27FC236}">
              <a16:creationId xmlns:a16="http://schemas.microsoft.com/office/drawing/2014/main" id="{00000000-0008-0000-0500-00000B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12" name="CustomShape 1" hidden="1">
          <a:extLst>
            <a:ext uri="{FF2B5EF4-FFF2-40B4-BE49-F238E27FC236}">
              <a16:creationId xmlns:a16="http://schemas.microsoft.com/office/drawing/2014/main" id="{00000000-0008-0000-0500-00000C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13" name="CustomShape 1" hidden="1">
          <a:extLst>
            <a:ext uri="{FF2B5EF4-FFF2-40B4-BE49-F238E27FC236}">
              <a16:creationId xmlns:a16="http://schemas.microsoft.com/office/drawing/2014/main" id="{00000000-0008-0000-0500-00000D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14" name="CustomShape 1" hidden="1">
          <a:extLst>
            <a:ext uri="{FF2B5EF4-FFF2-40B4-BE49-F238E27FC236}">
              <a16:creationId xmlns:a16="http://schemas.microsoft.com/office/drawing/2014/main" id="{00000000-0008-0000-0500-00000E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15" name="CustomShape 1" hidden="1">
          <a:extLst>
            <a:ext uri="{FF2B5EF4-FFF2-40B4-BE49-F238E27FC236}">
              <a16:creationId xmlns:a16="http://schemas.microsoft.com/office/drawing/2014/main" id="{00000000-0008-0000-0500-00000F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16" name="CustomShape 1" hidden="1">
          <a:extLst>
            <a:ext uri="{FF2B5EF4-FFF2-40B4-BE49-F238E27FC236}">
              <a16:creationId xmlns:a16="http://schemas.microsoft.com/office/drawing/2014/main" id="{00000000-0008-0000-0500-000010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17" name="CustomShape 1" hidden="1">
          <a:extLst>
            <a:ext uri="{FF2B5EF4-FFF2-40B4-BE49-F238E27FC236}">
              <a16:creationId xmlns:a16="http://schemas.microsoft.com/office/drawing/2014/main" id="{00000000-0008-0000-0500-000011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18" name="CustomShape 1" hidden="1">
          <a:extLst>
            <a:ext uri="{FF2B5EF4-FFF2-40B4-BE49-F238E27FC236}">
              <a16:creationId xmlns:a16="http://schemas.microsoft.com/office/drawing/2014/main" id="{00000000-0008-0000-0500-000012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19" name="CustomShape 1" hidden="1">
          <a:extLst>
            <a:ext uri="{FF2B5EF4-FFF2-40B4-BE49-F238E27FC236}">
              <a16:creationId xmlns:a16="http://schemas.microsoft.com/office/drawing/2014/main" id="{00000000-0008-0000-0500-000013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20" name="CustomShape 1" hidden="1">
          <a:extLst>
            <a:ext uri="{FF2B5EF4-FFF2-40B4-BE49-F238E27FC236}">
              <a16:creationId xmlns:a16="http://schemas.microsoft.com/office/drawing/2014/main" id="{00000000-0008-0000-0500-000014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21" name="CustomShape 1" hidden="1">
          <a:extLst>
            <a:ext uri="{FF2B5EF4-FFF2-40B4-BE49-F238E27FC236}">
              <a16:creationId xmlns:a16="http://schemas.microsoft.com/office/drawing/2014/main" id="{00000000-0008-0000-0500-000015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22" name="CustomShape 1" hidden="1">
          <a:extLst>
            <a:ext uri="{FF2B5EF4-FFF2-40B4-BE49-F238E27FC236}">
              <a16:creationId xmlns:a16="http://schemas.microsoft.com/office/drawing/2014/main" id="{00000000-0008-0000-0500-000016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23" name="CustomShape 1" hidden="1">
          <a:extLst>
            <a:ext uri="{FF2B5EF4-FFF2-40B4-BE49-F238E27FC236}">
              <a16:creationId xmlns:a16="http://schemas.microsoft.com/office/drawing/2014/main" id="{00000000-0008-0000-0500-000017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24" name="CustomShape 1" hidden="1">
          <a:extLst>
            <a:ext uri="{FF2B5EF4-FFF2-40B4-BE49-F238E27FC236}">
              <a16:creationId xmlns:a16="http://schemas.microsoft.com/office/drawing/2014/main" id="{00000000-0008-0000-0500-000018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25" name="CustomShape 1" hidden="1">
          <a:extLst>
            <a:ext uri="{FF2B5EF4-FFF2-40B4-BE49-F238E27FC236}">
              <a16:creationId xmlns:a16="http://schemas.microsoft.com/office/drawing/2014/main" id="{00000000-0008-0000-0500-000019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26" name="CustomShape 1" hidden="1">
          <a:extLst>
            <a:ext uri="{FF2B5EF4-FFF2-40B4-BE49-F238E27FC236}">
              <a16:creationId xmlns:a16="http://schemas.microsoft.com/office/drawing/2014/main" id="{00000000-0008-0000-0500-00001A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27" name="CustomShape 1" hidden="1">
          <a:extLst>
            <a:ext uri="{FF2B5EF4-FFF2-40B4-BE49-F238E27FC236}">
              <a16:creationId xmlns:a16="http://schemas.microsoft.com/office/drawing/2014/main" id="{00000000-0008-0000-0500-00001B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28" name="CustomShape 1" hidden="1">
          <a:extLst>
            <a:ext uri="{FF2B5EF4-FFF2-40B4-BE49-F238E27FC236}">
              <a16:creationId xmlns:a16="http://schemas.microsoft.com/office/drawing/2014/main" id="{00000000-0008-0000-0500-00001C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29" name="CustomShape 1" hidden="1">
          <a:extLst>
            <a:ext uri="{FF2B5EF4-FFF2-40B4-BE49-F238E27FC236}">
              <a16:creationId xmlns:a16="http://schemas.microsoft.com/office/drawing/2014/main" id="{00000000-0008-0000-0500-00001D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30" name="CustomShape 1" hidden="1">
          <a:extLst>
            <a:ext uri="{FF2B5EF4-FFF2-40B4-BE49-F238E27FC236}">
              <a16:creationId xmlns:a16="http://schemas.microsoft.com/office/drawing/2014/main" id="{00000000-0008-0000-0500-00001E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31" name="CustomShape 1" hidden="1">
          <a:extLst>
            <a:ext uri="{FF2B5EF4-FFF2-40B4-BE49-F238E27FC236}">
              <a16:creationId xmlns:a16="http://schemas.microsoft.com/office/drawing/2014/main" id="{00000000-0008-0000-0500-00001F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32" name="CustomShape 1" hidden="1">
          <a:extLst>
            <a:ext uri="{FF2B5EF4-FFF2-40B4-BE49-F238E27FC236}">
              <a16:creationId xmlns:a16="http://schemas.microsoft.com/office/drawing/2014/main" id="{00000000-0008-0000-0500-000020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33" name="CustomShape 1" hidden="1">
          <a:extLst>
            <a:ext uri="{FF2B5EF4-FFF2-40B4-BE49-F238E27FC236}">
              <a16:creationId xmlns:a16="http://schemas.microsoft.com/office/drawing/2014/main" id="{00000000-0008-0000-0500-000021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34" name="CustomShape 1" hidden="1">
          <a:extLst>
            <a:ext uri="{FF2B5EF4-FFF2-40B4-BE49-F238E27FC236}">
              <a16:creationId xmlns:a16="http://schemas.microsoft.com/office/drawing/2014/main" id="{00000000-0008-0000-0500-000022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35" name="CustomShape 1" hidden="1">
          <a:extLst>
            <a:ext uri="{FF2B5EF4-FFF2-40B4-BE49-F238E27FC236}">
              <a16:creationId xmlns:a16="http://schemas.microsoft.com/office/drawing/2014/main" id="{00000000-0008-0000-0500-000023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36" name="CustomShape 1" hidden="1">
          <a:extLst>
            <a:ext uri="{FF2B5EF4-FFF2-40B4-BE49-F238E27FC236}">
              <a16:creationId xmlns:a16="http://schemas.microsoft.com/office/drawing/2014/main" id="{00000000-0008-0000-0500-000024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37" name="CustomShape 1" hidden="1">
          <a:extLst>
            <a:ext uri="{FF2B5EF4-FFF2-40B4-BE49-F238E27FC236}">
              <a16:creationId xmlns:a16="http://schemas.microsoft.com/office/drawing/2014/main" id="{00000000-0008-0000-0500-000025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38" name="CustomShape 1" hidden="1">
          <a:extLst>
            <a:ext uri="{FF2B5EF4-FFF2-40B4-BE49-F238E27FC236}">
              <a16:creationId xmlns:a16="http://schemas.microsoft.com/office/drawing/2014/main" id="{00000000-0008-0000-0500-000026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39" name="CustomShape 1" hidden="1">
          <a:extLst>
            <a:ext uri="{FF2B5EF4-FFF2-40B4-BE49-F238E27FC236}">
              <a16:creationId xmlns:a16="http://schemas.microsoft.com/office/drawing/2014/main" id="{00000000-0008-0000-0500-000027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40" name="CustomShape 1" hidden="1">
          <a:extLst>
            <a:ext uri="{FF2B5EF4-FFF2-40B4-BE49-F238E27FC236}">
              <a16:creationId xmlns:a16="http://schemas.microsoft.com/office/drawing/2014/main" id="{00000000-0008-0000-0500-000028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41" name="CustomShape 1" hidden="1">
          <a:extLst>
            <a:ext uri="{FF2B5EF4-FFF2-40B4-BE49-F238E27FC236}">
              <a16:creationId xmlns:a16="http://schemas.microsoft.com/office/drawing/2014/main" id="{00000000-0008-0000-0500-000029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42" name="CustomShape 1" hidden="1">
          <a:extLst>
            <a:ext uri="{FF2B5EF4-FFF2-40B4-BE49-F238E27FC236}">
              <a16:creationId xmlns:a16="http://schemas.microsoft.com/office/drawing/2014/main" id="{00000000-0008-0000-0500-00002A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43" name="CustomShape 1" hidden="1">
          <a:extLst>
            <a:ext uri="{FF2B5EF4-FFF2-40B4-BE49-F238E27FC236}">
              <a16:creationId xmlns:a16="http://schemas.microsoft.com/office/drawing/2014/main" id="{00000000-0008-0000-0500-00002B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44" name="CustomShape 1" hidden="1">
          <a:extLst>
            <a:ext uri="{FF2B5EF4-FFF2-40B4-BE49-F238E27FC236}">
              <a16:creationId xmlns:a16="http://schemas.microsoft.com/office/drawing/2014/main" id="{00000000-0008-0000-0500-00002C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45" name="CustomShape 1" hidden="1">
          <a:extLst>
            <a:ext uri="{FF2B5EF4-FFF2-40B4-BE49-F238E27FC236}">
              <a16:creationId xmlns:a16="http://schemas.microsoft.com/office/drawing/2014/main" id="{00000000-0008-0000-0500-00002D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46" name="CustomShape 1" hidden="1">
          <a:extLst>
            <a:ext uri="{FF2B5EF4-FFF2-40B4-BE49-F238E27FC236}">
              <a16:creationId xmlns:a16="http://schemas.microsoft.com/office/drawing/2014/main" id="{00000000-0008-0000-0500-00002E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47" name="CustomShape 1" hidden="1">
          <a:extLst>
            <a:ext uri="{FF2B5EF4-FFF2-40B4-BE49-F238E27FC236}">
              <a16:creationId xmlns:a16="http://schemas.microsoft.com/office/drawing/2014/main" id="{00000000-0008-0000-0500-00002F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48" name="CustomShape 1" hidden="1">
          <a:extLst>
            <a:ext uri="{FF2B5EF4-FFF2-40B4-BE49-F238E27FC236}">
              <a16:creationId xmlns:a16="http://schemas.microsoft.com/office/drawing/2014/main" id="{00000000-0008-0000-0500-000030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49" name="CustomShape 1" hidden="1">
          <a:extLst>
            <a:ext uri="{FF2B5EF4-FFF2-40B4-BE49-F238E27FC236}">
              <a16:creationId xmlns:a16="http://schemas.microsoft.com/office/drawing/2014/main" id="{00000000-0008-0000-0500-000031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50" name="CustomShape 1" hidden="1">
          <a:extLst>
            <a:ext uri="{FF2B5EF4-FFF2-40B4-BE49-F238E27FC236}">
              <a16:creationId xmlns:a16="http://schemas.microsoft.com/office/drawing/2014/main" id="{00000000-0008-0000-0500-000032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51" name="CustomShape 1" hidden="1">
          <a:extLst>
            <a:ext uri="{FF2B5EF4-FFF2-40B4-BE49-F238E27FC236}">
              <a16:creationId xmlns:a16="http://schemas.microsoft.com/office/drawing/2014/main" id="{00000000-0008-0000-0500-000033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52" name="CustomShape 1" hidden="1">
          <a:extLst>
            <a:ext uri="{FF2B5EF4-FFF2-40B4-BE49-F238E27FC236}">
              <a16:creationId xmlns:a16="http://schemas.microsoft.com/office/drawing/2014/main" id="{00000000-0008-0000-0500-000034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53" name="CustomShape 1" hidden="1">
          <a:extLst>
            <a:ext uri="{FF2B5EF4-FFF2-40B4-BE49-F238E27FC236}">
              <a16:creationId xmlns:a16="http://schemas.microsoft.com/office/drawing/2014/main" id="{00000000-0008-0000-0500-000035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54" name="CustomShape 1" hidden="1">
          <a:extLst>
            <a:ext uri="{FF2B5EF4-FFF2-40B4-BE49-F238E27FC236}">
              <a16:creationId xmlns:a16="http://schemas.microsoft.com/office/drawing/2014/main" id="{00000000-0008-0000-0500-000036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55" name="CustomShape 1" hidden="1">
          <a:extLst>
            <a:ext uri="{FF2B5EF4-FFF2-40B4-BE49-F238E27FC236}">
              <a16:creationId xmlns:a16="http://schemas.microsoft.com/office/drawing/2014/main" id="{00000000-0008-0000-0500-000037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56" name="CustomShape 1" hidden="1">
          <a:extLst>
            <a:ext uri="{FF2B5EF4-FFF2-40B4-BE49-F238E27FC236}">
              <a16:creationId xmlns:a16="http://schemas.microsoft.com/office/drawing/2014/main" id="{00000000-0008-0000-0500-000038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57" name="CustomShape 1" hidden="1">
          <a:extLst>
            <a:ext uri="{FF2B5EF4-FFF2-40B4-BE49-F238E27FC236}">
              <a16:creationId xmlns:a16="http://schemas.microsoft.com/office/drawing/2014/main" id="{00000000-0008-0000-0500-000039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58" name="CustomShape 1" hidden="1">
          <a:extLst>
            <a:ext uri="{FF2B5EF4-FFF2-40B4-BE49-F238E27FC236}">
              <a16:creationId xmlns:a16="http://schemas.microsoft.com/office/drawing/2014/main" id="{00000000-0008-0000-0500-00003A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59" name="CustomShape 1" hidden="1">
          <a:extLst>
            <a:ext uri="{FF2B5EF4-FFF2-40B4-BE49-F238E27FC236}">
              <a16:creationId xmlns:a16="http://schemas.microsoft.com/office/drawing/2014/main" id="{00000000-0008-0000-0500-00003B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60" name="CustomShape 1" hidden="1">
          <a:extLst>
            <a:ext uri="{FF2B5EF4-FFF2-40B4-BE49-F238E27FC236}">
              <a16:creationId xmlns:a16="http://schemas.microsoft.com/office/drawing/2014/main" id="{00000000-0008-0000-0500-00003C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61" name="CustomShape 1" hidden="1">
          <a:extLst>
            <a:ext uri="{FF2B5EF4-FFF2-40B4-BE49-F238E27FC236}">
              <a16:creationId xmlns:a16="http://schemas.microsoft.com/office/drawing/2014/main" id="{00000000-0008-0000-0500-00003D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62" name="CustomShape 1" hidden="1">
          <a:extLst>
            <a:ext uri="{FF2B5EF4-FFF2-40B4-BE49-F238E27FC236}">
              <a16:creationId xmlns:a16="http://schemas.microsoft.com/office/drawing/2014/main" id="{00000000-0008-0000-0500-00003E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63" name="CustomShape 1" hidden="1">
          <a:extLst>
            <a:ext uri="{FF2B5EF4-FFF2-40B4-BE49-F238E27FC236}">
              <a16:creationId xmlns:a16="http://schemas.microsoft.com/office/drawing/2014/main" id="{00000000-0008-0000-0500-00003F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64" name="CustomShape 1" hidden="1">
          <a:extLst>
            <a:ext uri="{FF2B5EF4-FFF2-40B4-BE49-F238E27FC236}">
              <a16:creationId xmlns:a16="http://schemas.microsoft.com/office/drawing/2014/main" id="{00000000-0008-0000-0500-000040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65" name="CustomShape 1" hidden="1">
          <a:extLst>
            <a:ext uri="{FF2B5EF4-FFF2-40B4-BE49-F238E27FC236}">
              <a16:creationId xmlns:a16="http://schemas.microsoft.com/office/drawing/2014/main" id="{00000000-0008-0000-0500-000041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66" name="CustomShape 1" hidden="1">
          <a:extLst>
            <a:ext uri="{FF2B5EF4-FFF2-40B4-BE49-F238E27FC236}">
              <a16:creationId xmlns:a16="http://schemas.microsoft.com/office/drawing/2014/main" id="{00000000-0008-0000-0500-000042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67" name="CustomShape 1" hidden="1">
          <a:extLst>
            <a:ext uri="{FF2B5EF4-FFF2-40B4-BE49-F238E27FC236}">
              <a16:creationId xmlns:a16="http://schemas.microsoft.com/office/drawing/2014/main" id="{00000000-0008-0000-0500-000043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68" name="CustomShape 1" hidden="1">
          <a:extLst>
            <a:ext uri="{FF2B5EF4-FFF2-40B4-BE49-F238E27FC236}">
              <a16:creationId xmlns:a16="http://schemas.microsoft.com/office/drawing/2014/main" id="{00000000-0008-0000-0500-000044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69" name="CustomShape 1" hidden="1">
          <a:extLst>
            <a:ext uri="{FF2B5EF4-FFF2-40B4-BE49-F238E27FC236}">
              <a16:creationId xmlns:a16="http://schemas.microsoft.com/office/drawing/2014/main" id="{00000000-0008-0000-0500-000045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70" name="CustomShape 1" hidden="1">
          <a:extLst>
            <a:ext uri="{FF2B5EF4-FFF2-40B4-BE49-F238E27FC236}">
              <a16:creationId xmlns:a16="http://schemas.microsoft.com/office/drawing/2014/main" id="{00000000-0008-0000-0500-000046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71" name="CustomShape 1" hidden="1">
          <a:extLst>
            <a:ext uri="{FF2B5EF4-FFF2-40B4-BE49-F238E27FC236}">
              <a16:creationId xmlns:a16="http://schemas.microsoft.com/office/drawing/2014/main" id="{00000000-0008-0000-0500-000047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72" name="CustomShape 1" hidden="1">
          <a:extLst>
            <a:ext uri="{FF2B5EF4-FFF2-40B4-BE49-F238E27FC236}">
              <a16:creationId xmlns:a16="http://schemas.microsoft.com/office/drawing/2014/main" id="{00000000-0008-0000-0500-000048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73" name="CustomShape 1" hidden="1">
          <a:extLst>
            <a:ext uri="{FF2B5EF4-FFF2-40B4-BE49-F238E27FC236}">
              <a16:creationId xmlns:a16="http://schemas.microsoft.com/office/drawing/2014/main" id="{00000000-0008-0000-0500-000049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74" name="CustomShape 1" hidden="1">
          <a:extLst>
            <a:ext uri="{FF2B5EF4-FFF2-40B4-BE49-F238E27FC236}">
              <a16:creationId xmlns:a16="http://schemas.microsoft.com/office/drawing/2014/main" id="{00000000-0008-0000-0500-00004A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75" name="CustomShape 1" hidden="1">
          <a:extLst>
            <a:ext uri="{FF2B5EF4-FFF2-40B4-BE49-F238E27FC236}">
              <a16:creationId xmlns:a16="http://schemas.microsoft.com/office/drawing/2014/main" id="{00000000-0008-0000-0500-00004B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76" name="CustomShape 1" hidden="1">
          <a:extLst>
            <a:ext uri="{FF2B5EF4-FFF2-40B4-BE49-F238E27FC236}">
              <a16:creationId xmlns:a16="http://schemas.microsoft.com/office/drawing/2014/main" id="{00000000-0008-0000-0500-00004C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77" name="CustomShape 1" hidden="1">
          <a:extLst>
            <a:ext uri="{FF2B5EF4-FFF2-40B4-BE49-F238E27FC236}">
              <a16:creationId xmlns:a16="http://schemas.microsoft.com/office/drawing/2014/main" id="{00000000-0008-0000-0500-00004D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78" name="CustomShape 1" hidden="1">
          <a:extLst>
            <a:ext uri="{FF2B5EF4-FFF2-40B4-BE49-F238E27FC236}">
              <a16:creationId xmlns:a16="http://schemas.microsoft.com/office/drawing/2014/main" id="{00000000-0008-0000-0500-00004E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79" name="CustomShape 1" hidden="1">
          <a:extLst>
            <a:ext uri="{FF2B5EF4-FFF2-40B4-BE49-F238E27FC236}">
              <a16:creationId xmlns:a16="http://schemas.microsoft.com/office/drawing/2014/main" id="{00000000-0008-0000-0500-00004F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80" name="CustomShape 1" hidden="1">
          <a:extLst>
            <a:ext uri="{FF2B5EF4-FFF2-40B4-BE49-F238E27FC236}">
              <a16:creationId xmlns:a16="http://schemas.microsoft.com/office/drawing/2014/main" id="{00000000-0008-0000-0500-000050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81" name="CustomShape 1" hidden="1">
          <a:extLst>
            <a:ext uri="{FF2B5EF4-FFF2-40B4-BE49-F238E27FC236}">
              <a16:creationId xmlns:a16="http://schemas.microsoft.com/office/drawing/2014/main" id="{00000000-0008-0000-0500-000051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82" name="CustomShape 1" hidden="1">
          <a:extLst>
            <a:ext uri="{FF2B5EF4-FFF2-40B4-BE49-F238E27FC236}">
              <a16:creationId xmlns:a16="http://schemas.microsoft.com/office/drawing/2014/main" id="{00000000-0008-0000-0500-000052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83" name="CustomShape 1" hidden="1">
          <a:extLst>
            <a:ext uri="{FF2B5EF4-FFF2-40B4-BE49-F238E27FC236}">
              <a16:creationId xmlns:a16="http://schemas.microsoft.com/office/drawing/2014/main" id="{00000000-0008-0000-0500-000053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84" name="CustomShape 1" hidden="1">
          <a:extLst>
            <a:ext uri="{FF2B5EF4-FFF2-40B4-BE49-F238E27FC236}">
              <a16:creationId xmlns:a16="http://schemas.microsoft.com/office/drawing/2014/main" id="{00000000-0008-0000-0500-000054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85" name="CustomShape 1" hidden="1">
          <a:extLst>
            <a:ext uri="{FF2B5EF4-FFF2-40B4-BE49-F238E27FC236}">
              <a16:creationId xmlns:a16="http://schemas.microsoft.com/office/drawing/2014/main" id="{00000000-0008-0000-0500-000055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86" name="CustomShape 1" hidden="1">
          <a:extLst>
            <a:ext uri="{FF2B5EF4-FFF2-40B4-BE49-F238E27FC236}">
              <a16:creationId xmlns:a16="http://schemas.microsoft.com/office/drawing/2014/main" id="{00000000-0008-0000-0500-000056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87" name="CustomShape 1" hidden="1">
          <a:extLst>
            <a:ext uri="{FF2B5EF4-FFF2-40B4-BE49-F238E27FC236}">
              <a16:creationId xmlns:a16="http://schemas.microsoft.com/office/drawing/2014/main" id="{00000000-0008-0000-0500-000057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88" name="CustomShape 1" hidden="1">
          <a:extLst>
            <a:ext uri="{FF2B5EF4-FFF2-40B4-BE49-F238E27FC236}">
              <a16:creationId xmlns:a16="http://schemas.microsoft.com/office/drawing/2014/main" id="{00000000-0008-0000-0500-000058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89" name="CustomShape 1" hidden="1">
          <a:extLst>
            <a:ext uri="{FF2B5EF4-FFF2-40B4-BE49-F238E27FC236}">
              <a16:creationId xmlns:a16="http://schemas.microsoft.com/office/drawing/2014/main" id="{00000000-0008-0000-0500-000059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331560</xdr:colOff>
      <xdr:row>36</xdr:row>
      <xdr:rowOff>76680</xdr:rowOff>
    </xdr:to>
    <xdr:sp macro="" textlink="">
      <xdr:nvSpPr>
        <xdr:cNvPr id="90" name="CustomShape 1" hidden="1">
          <a:extLst>
            <a:ext uri="{FF2B5EF4-FFF2-40B4-BE49-F238E27FC236}">
              <a16:creationId xmlns:a16="http://schemas.microsoft.com/office/drawing/2014/main" id="{00000000-0008-0000-0500-00005A000000}"/>
            </a:ext>
          </a:extLst>
        </xdr:cNvPr>
        <xdr:cNvSpPr/>
      </xdr:nvSpPr>
      <xdr:spPr>
        <a:xfrm>
          <a:off x="0" y="0"/>
          <a:ext cx="8758080" cy="7640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91" name="CustomShape 1" hidden="1">
          <a:extLst>
            <a:ext uri="{FF2B5EF4-FFF2-40B4-BE49-F238E27FC236}">
              <a16:creationId xmlns:a16="http://schemas.microsoft.com/office/drawing/2014/main" id="{00000000-0008-0000-0500-00005B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92" name="CustomShape 1" hidden="1">
          <a:extLst>
            <a:ext uri="{FF2B5EF4-FFF2-40B4-BE49-F238E27FC236}">
              <a16:creationId xmlns:a16="http://schemas.microsoft.com/office/drawing/2014/main" id="{00000000-0008-0000-0500-00005C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93" name="CustomShape 1" hidden="1">
          <a:extLst>
            <a:ext uri="{FF2B5EF4-FFF2-40B4-BE49-F238E27FC236}">
              <a16:creationId xmlns:a16="http://schemas.microsoft.com/office/drawing/2014/main" id="{00000000-0008-0000-0500-00005D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94" name="CustomShape 1" hidden="1">
          <a:extLst>
            <a:ext uri="{FF2B5EF4-FFF2-40B4-BE49-F238E27FC236}">
              <a16:creationId xmlns:a16="http://schemas.microsoft.com/office/drawing/2014/main" id="{00000000-0008-0000-0500-00005E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95" name="CustomShape 1" hidden="1">
          <a:extLst>
            <a:ext uri="{FF2B5EF4-FFF2-40B4-BE49-F238E27FC236}">
              <a16:creationId xmlns:a16="http://schemas.microsoft.com/office/drawing/2014/main" id="{00000000-0008-0000-0500-00005F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96" name="CustomShape 1" hidden="1">
          <a:extLst>
            <a:ext uri="{FF2B5EF4-FFF2-40B4-BE49-F238E27FC236}">
              <a16:creationId xmlns:a16="http://schemas.microsoft.com/office/drawing/2014/main" id="{00000000-0008-0000-0500-000060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97" name="CustomShape 1" hidden="1">
          <a:extLst>
            <a:ext uri="{FF2B5EF4-FFF2-40B4-BE49-F238E27FC236}">
              <a16:creationId xmlns:a16="http://schemas.microsoft.com/office/drawing/2014/main" id="{00000000-0008-0000-0500-000061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98" name="CustomShape 1" hidden="1">
          <a:extLst>
            <a:ext uri="{FF2B5EF4-FFF2-40B4-BE49-F238E27FC236}">
              <a16:creationId xmlns:a16="http://schemas.microsoft.com/office/drawing/2014/main" id="{00000000-0008-0000-0500-000062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99" name="CustomShape 1" hidden="1">
          <a:extLst>
            <a:ext uri="{FF2B5EF4-FFF2-40B4-BE49-F238E27FC236}">
              <a16:creationId xmlns:a16="http://schemas.microsoft.com/office/drawing/2014/main" id="{00000000-0008-0000-0500-000063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00" name="CustomShape 1" hidden="1">
          <a:extLst>
            <a:ext uri="{FF2B5EF4-FFF2-40B4-BE49-F238E27FC236}">
              <a16:creationId xmlns:a16="http://schemas.microsoft.com/office/drawing/2014/main" id="{00000000-0008-0000-0500-000064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01" name="CustomShape 1" hidden="1">
          <a:extLst>
            <a:ext uri="{FF2B5EF4-FFF2-40B4-BE49-F238E27FC236}">
              <a16:creationId xmlns:a16="http://schemas.microsoft.com/office/drawing/2014/main" id="{00000000-0008-0000-0500-000065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02" name="CustomShape 1" hidden="1">
          <a:extLst>
            <a:ext uri="{FF2B5EF4-FFF2-40B4-BE49-F238E27FC236}">
              <a16:creationId xmlns:a16="http://schemas.microsoft.com/office/drawing/2014/main" id="{00000000-0008-0000-0500-000066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03" name="CustomShape 1" hidden="1">
          <a:extLst>
            <a:ext uri="{FF2B5EF4-FFF2-40B4-BE49-F238E27FC236}">
              <a16:creationId xmlns:a16="http://schemas.microsoft.com/office/drawing/2014/main" id="{00000000-0008-0000-0500-000067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04" name="CustomShape 1" hidden="1">
          <a:extLst>
            <a:ext uri="{FF2B5EF4-FFF2-40B4-BE49-F238E27FC236}">
              <a16:creationId xmlns:a16="http://schemas.microsoft.com/office/drawing/2014/main" id="{00000000-0008-0000-0500-000068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05" name="CustomShape 1" hidden="1">
          <a:extLst>
            <a:ext uri="{FF2B5EF4-FFF2-40B4-BE49-F238E27FC236}">
              <a16:creationId xmlns:a16="http://schemas.microsoft.com/office/drawing/2014/main" id="{00000000-0008-0000-0500-000069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06" name="CustomShape 1" hidden="1">
          <a:extLst>
            <a:ext uri="{FF2B5EF4-FFF2-40B4-BE49-F238E27FC236}">
              <a16:creationId xmlns:a16="http://schemas.microsoft.com/office/drawing/2014/main" id="{00000000-0008-0000-0500-00006A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07" name="CustomShape 1" hidden="1">
          <a:extLst>
            <a:ext uri="{FF2B5EF4-FFF2-40B4-BE49-F238E27FC236}">
              <a16:creationId xmlns:a16="http://schemas.microsoft.com/office/drawing/2014/main" id="{00000000-0008-0000-0500-00006B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08" name="CustomShape 1" hidden="1">
          <a:extLst>
            <a:ext uri="{FF2B5EF4-FFF2-40B4-BE49-F238E27FC236}">
              <a16:creationId xmlns:a16="http://schemas.microsoft.com/office/drawing/2014/main" id="{00000000-0008-0000-0500-00006C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09" name="CustomShape 1" hidden="1">
          <a:extLst>
            <a:ext uri="{FF2B5EF4-FFF2-40B4-BE49-F238E27FC236}">
              <a16:creationId xmlns:a16="http://schemas.microsoft.com/office/drawing/2014/main" id="{00000000-0008-0000-0500-00006D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10" name="CustomShape 1" hidden="1">
          <a:extLst>
            <a:ext uri="{FF2B5EF4-FFF2-40B4-BE49-F238E27FC236}">
              <a16:creationId xmlns:a16="http://schemas.microsoft.com/office/drawing/2014/main" id="{00000000-0008-0000-0500-00006E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11" name="CustomShape 1" hidden="1">
          <a:extLst>
            <a:ext uri="{FF2B5EF4-FFF2-40B4-BE49-F238E27FC236}">
              <a16:creationId xmlns:a16="http://schemas.microsoft.com/office/drawing/2014/main" id="{00000000-0008-0000-0500-00006F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12" name="CustomShape 1" hidden="1">
          <a:extLst>
            <a:ext uri="{FF2B5EF4-FFF2-40B4-BE49-F238E27FC236}">
              <a16:creationId xmlns:a16="http://schemas.microsoft.com/office/drawing/2014/main" id="{00000000-0008-0000-0500-000070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13" name="CustomShape 1" hidden="1">
          <a:extLst>
            <a:ext uri="{FF2B5EF4-FFF2-40B4-BE49-F238E27FC236}">
              <a16:creationId xmlns:a16="http://schemas.microsoft.com/office/drawing/2014/main" id="{00000000-0008-0000-0500-000071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14" name="CustomShape 1" hidden="1">
          <a:extLst>
            <a:ext uri="{FF2B5EF4-FFF2-40B4-BE49-F238E27FC236}">
              <a16:creationId xmlns:a16="http://schemas.microsoft.com/office/drawing/2014/main" id="{00000000-0008-0000-0500-000072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15" name="CustomShape 1" hidden="1">
          <a:extLst>
            <a:ext uri="{FF2B5EF4-FFF2-40B4-BE49-F238E27FC236}">
              <a16:creationId xmlns:a16="http://schemas.microsoft.com/office/drawing/2014/main" id="{00000000-0008-0000-0500-000073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16" name="CustomShape 1" hidden="1">
          <a:extLst>
            <a:ext uri="{FF2B5EF4-FFF2-40B4-BE49-F238E27FC236}">
              <a16:creationId xmlns:a16="http://schemas.microsoft.com/office/drawing/2014/main" id="{00000000-0008-0000-0500-000074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17" name="CustomShape 1" hidden="1">
          <a:extLst>
            <a:ext uri="{FF2B5EF4-FFF2-40B4-BE49-F238E27FC236}">
              <a16:creationId xmlns:a16="http://schemas.microsoft.com/office/drawing/2014/main" id="{00000000-0008-0000-0500-000075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18" name="CustomShape 1" hidden="1">
          <a:extLst>
            <a:ext uri="{FF2B5EF4-FFF2-40B4-BE49-F238E27FC236}">
              <a16:creationId xmlns:a16="http://schemas.microsoft.com/office/drawing/2014/main" id="{00000000-0008-0000-0500-000076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19" name="CustomShape 1" hidden="1">
          <a:extLst>
            <a:ext uri="{FF2B5EF4-FFF2-40B4-BE49-F238E27FC236}">
              <a16:creationId xmlns:a16="http://schemas.microsoft.com/office/drawing/2014/main" id="{00000000-0008-0000-0500-000077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20" name="CustomShape 1" hidden="1">
          <a:extLst>
            <a:ext uri="{FF2B5EF4-FFF2-40B4-BE49-F238E27FC236}">
              <a16:creationId xmlns:a16="http://schemas.microsoft.com/office/drawing/2014/main" id="{00000000-0008-0000-0500-000078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21" name="CustomShape 1" hidden="1">
          <a:extLst>
            <a:ext uri="{FF2B5EF4-FFF2-40B4-BE49-F238E27FC236}">
              <a16:creationId xmlns:a16="http://schemas.microsoft.com/office/drawing/2014/main" id="{00000000-0008-0000-0500-000079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22" name="CustomShape 1" hidden="1">
          <a:extLst>
            <a:ext uri="{FF2B5EF4-FFF2-40B4-BE49-F238E27FC236}">
              <a16:creationId xmlns:a16="http://schemas.microsoft.com/office/drawing/2014/main" id="{00000000-0008-0000-0500-00007A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23" name="CustomShape 1" hidden="1">
          <a:extLst>
            <a:ext uri="{FF2B5EF4-FFF2-40B4-BE49-F238E27FC236}">
              <a16:creationId xmlns:a16="http://schemas.microsoft.com/office/drawing/2014/main" id="{00000000-0008-0000-0500-00007B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24" name="CustomShape 1" hidden="1">
          <a:extLst>
            <a:ext uri="{FF2B5EF4-FFF2-40B4-BE49-F238E27FC236}">
              <a16:creationId xmlns:a16="http://schemas.microsoft.com/office/drawing/2014/main" id="{00000000-0008-0000-0500-00007C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25" name="CustomShape 1" hidden="1">
          <a:extLst>
            <a:ext uri="{FF2B5EF4-FFF2-40B4-BE49-F238E27FC236}">
              <a16:creationId xmlns:a16="http://schemas.microsoft.com/office/drawing/2014/main" id="{00000000-0008-0000-0500-00007D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26" name="CustomShape 1" hidden="1">
          <a:extLst>
            <a:ext uri="{FF2B5EF4-FFF2-40B4-BE49-F238E27FC236}">
              <a16:creationId xmlns:a16="http://schemas.microsoft.com/office/drawing/2014/main" id="{00000000-0008-0000-0500-00007E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27" name="CustomShape 1" hidden="1">
          <a:extLst>
            <a:ext uri="{FF2B5EF4-FFF2-40B4-BE49-F238E27FC236}">
              <a16:creationId xmlns:a16="http://schemas.microsoft.com/office/drawing/2014/main" id="{00000000-0008-0000-0500-00007F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28" name="CustomShape 1" hidden="1">
          <a:extLst>
            <a:ext uri="{FF2B5EF4-FFF2-40B4-BE49-F238E27FC236}">
              <a16:creationId xmlns:a16="http://schemas.microsoft.com/office/drawing/2014/main" id="{00000000-0008-0000-0500-000080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29" name="CustomShape 1" hidden="1">
          <a:extLst>
            <a:ext uri="{FF2B5EF4-FFF2-40B4-BE49-F238E27FC236}">
              <a16:creationId xmlns:a16="http://schemas.microsoft.com/office/drawing/2014/main" id="{00000000-0008-0000-0500-000081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30" name="CustomShape 1" hidden="1">
          <a:extLst>
            <a:ext uri="{FF2B5EF4-FFF2-40B4-BE49-F238E27FC236}">
              <a16:creationId xmlns:a16="http://schemas.microsoft.com/office/drawing/2014/main" id="{00000000-0008-0000-0500-000082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31" name="CustomShape 1" hidden="1">
          <a:extLst>
            <a:ext uri="{FF2B5EF4-FFF2-40B4-BE49-F238E27FC236}">
              <a16:creationId xmlns:a16="http://schemas.microsoft.com/office/drawing/2014/main" id="{00000000-0008-0000-0500-000083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32" name="CustomShape 1" hidden="1">
          <a:extLst>
            <a:ext uri="{FF2B5EF4-FFF2-40B4-BE49-F238E27FC236}">
              <a16:creationId xmlns:a16="http://schemas.microsoft.com/office/drawing/2014/main" id="{00000000-0008-0000-0500-000084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33" name="CustomShape 1" hidden="1">
          <a:extLst>
            <a:ext uri="{FF2B5EF4-FFF2-40B4-BE49-F238E27FC236}">
              <a16:creationId xmlns:a16="http://schemas.microsoft.com/office/drawing/2014/main" id="{00000000-0008-0000-0500-000085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34" name="CustomShape 1" hidden="1">
          <a:extLst>
            <a:ext uri="{FF2B5EF4-FFF2-40B4-BE49-F238E27FC236}">
              <a16:creationId xmlns:a16="http://schemas.microsoft.com/office/drawing/2014/main" id="{00000000-0008-0000-0500-000086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35" name="CustomShape 1" hidden="1">
          <a:extLst>
            <a:ext uri="{FF2B5EF4-FFF2-40B4-BE49-F238E27FC236}">
              <a16:creationId xmlns:a16="http://schemas.microsoft.com/office/drawing/2014/main" id="{00000000-0008-0000-0500-000087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36" name="CustomShape 1" hidden="1">
          <a:extLst>
            <a:ext uri="{FF2B5EF4-FFF2-40B4-BE49-F238E27FC236}">
              <a16:creationId xmlns:a16="http://schemas.microsoft.com/office/drawing/2014/main" id="{00000000-0008-0000-0500-000088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37" name="CustomShape 1" hidden="1">
          <a:extLst>
            <a:ext uri="{FF2B5EF4-FFF2-40B4-BE49-F238E27FC236}">
              <a16:creationId xmlns:a16="http://schemas.microsoft.com/office/drawing/2014/main" id="{00000000-0008-0000-0500-000089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38" name="CustomShape 1" hidden="1">
          <a:extLst>
            <a:ext uri="{FF2B5EF4-FFF2-40B4-BE49-F238E27FC236}">
              <a16:creationId xmlns:a16="http://schemas.microsoft.com/office/drawing/2014/main" id="{00000000-0008-0000-0500-00008A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39" name="CustomShape 1" hidden="1">
          <a:extLst>
            <a:ext uri="{FF2B5EF4-FFF2-40B4-BE49-F238E27FC236}">
              <a16:creationId xmlns:a16="http://schemas.microsoft.com/office/drawing/2014/main" id="{00000000-0008-0000-0500-00008B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40" name="CustomShape 1" hidden="1">
          <a:extLst>
            <a:ext uri="{FF2B5EF4-FFF2-40B4-BE49-F238E27FC236}">
              <a16:creationId xmlns:a16="http://schemas.microsoft.com/office/drawing/2014/main" id="{00000000-0008-0000-0500-00008C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41" name="CustomShape 1" hidden="1">
          <a:extLst>
            <a:ext uri="{FF2B5EF4-FFF2-40B4-BE49-F238E27FC236}">
              <a16:creationId xmlns:a16="http://schemas.microsoft.com/office/drawing/2014/main" id="{00000000-0008-0000-0500-00008D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42" name="CustomShape 1" hidden="1">
          <a:extLst>
            <a:ext uri="{FF2B5EF4-FFF2-40B4-BE49-F238E27FC236}">
              <a16:creationId xmlns:a16="http://schemas.microsoft.com/office/drawing/2014/main" id="{00000000-0008-0000-0500-00008E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43" name="CustomShape 1" hidden="1">
          <a:extLst>
            <a:ext uri="{FF2B5EF4-FFF2-40B4-BE49-F238E27FC236}">
              <a16:creationId xmlns:a16="http://schemas.microsoft.com/office/drawing/2014/main" id="{00000000-0008-0000-0500-00008F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44" name="CustomShape 1" hidden="1">
          <a:extLst>
            <a:ext uri="{FF2B5EF4-FFF2-40B4-BE49-F238E27FC236}">
              <a16:creationId xmlns:a16="http://schemas.microsoft.com/office/drawing/2014/main" id="{00000000-0008-0000-0500-000090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45" name="CustomShape 1" hidden="1">
          <a:extLst>
            <a:ext uri="{FF2B5EF4-FFF2-40B4-BE49-F238E27FC236}">
              <a16:creationId xmlns:a16="http://schemas.microsoft.com/office/drawing/2014/main" id="{00000000-0008-0000-0500-000091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46" name="CustomShape 1" hidden="1">
          <a:extLst>
            <a:ext uri="{FF2B5EF4-FFF2-40B4-BE49-F238E27FC236}">
              <a16:creationId xmlns:a16="http://schemas.microsoft.com/office/drawing/2014/main" id="{00000000-0008-0000-0500-000092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47" name="CustomShape 1" hidden="1">
          <a:extLst>
            <a:ext uri="{FF2B5EF4-FFF2-40B4-BE49-F238E27FC236}">
              <a16:creationId xmlns:a16="http://schemas.microsoft.com/office/drawing/2014/main" id="{00000000-0008-0000-0500-000093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48" name="CustomShape 1" hidden="1">
          <a:extLst>
            <a:ext uri="{FF2B5EF4-FFF2-40B4-BE49-F238E27FC236}">
              <a16:creationId xmlns:a16="http://schemas.microsoft.com/office/drawing/2014/main" id="{00000000-0008-0000-0500-000094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49" name="CustomShape 1" hidden="1">
          <a:extLst>
            <a:ext uri="{FF2B5EF4-FFF2-40B4-BE49-F238E27FC236}">
              <a16:creationId xmlns:a16="http://schemas.microsoft.com/office/drawing/2014/main" id="{00000000-0008-0000-0500-000095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50" name="CustomShape 1" hidden="1">
          <a:extLst>
            <a:ext uri="{FF2B5EF4-FFF2-40B4-BE49-F238E27FC236}">
              <a16:creationId xmlns:a16="http://schemas.microsoft.com/office/drawing/2014/main" id="{00000000-0008-0000-0500-000096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51" name="CustomShape 1" hidden="1">
          <a:extLst>
            <a:ext uri="{FF2B5EF4-FFF2-40B4-BE49-F238E27FC236}">
              <a16:creationId xmlns:a16="http://schemas.microsoft.com/office/drawing/2014/main" id="{00000000-0008-0000-0500-000097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52" name="CustomShape 1" hidden="1">
          <a:extLst>
            <a:ext uri="{FF2B5EF4-FFF2-40B4-BE49-F238E27FC236}">
              <a16:creationId xmlns:a16="http://schemas.microsoft.com/office/drawing/2014/main" id="{00000000-0008-0000-0500-000098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53" name="CustomShape 1" hidden="1">
          <a:extLst>
            <a:ext uri="{FF2B5EF4-FFF2-40B4-BE49-F238E27FC236}">
              <a16:creationId xmlns:a16="http://schemas.microsoft.com/office/drawing/2014/main" id="{00000000-0008-0000-0500-000099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54" name="CustomShape 1" hidden="1">
          <a:extLst>
            <a:ext uri="{FF2B5EF4-FFF2-40B4-BE49-F238E27FC236}">
              <a16:creationId xmlns:a16="http://schemas.microsoft.com/office/drawing/2014/main" id="{00000000-0008-0000-0500-00009A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55" name="CustomShape 1" hidden="1">
          <a:extLst>
            <a:ext uri="{FF2B5EF4-FFF2-40B4-BE49-F238E27FC236}">
              <a16:creationId xmlns:a16="http://schemas.microsoft.com/office/drawing/2014/main" id="{00000000-0008-0000-0500-00009B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56" name="CustomShape 1" hidden="1">
          <a:extLst>
            <a:ext uri="{FF2B5EF4-FFF2-40B4-BE49-F238E27FC236}">
              <a16:creationId xmlns:a16="http://schemas.microsoft.com/office/drawing/2014/main" id="{00000000-0008-0000-0500-00009C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57" name="CustomShape 1" hidden="1">
          <a:extLst>
            <a:ext uri="{FF2B5EF4-FFF2-40B4-BE49-F238E27FC236}">
              <a16:creationId xmlns:a16="http://schemas.microsoft.com/office/drawing/2014/main" id="{00000000-0008-0000-0500-00009D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58" name="CustomShape 1" hidden="1">
          <a:extLst>
            <a:ext uri="{FF2B5EF4-FFF2-40B4-BE49-F238E27FC236}">
              <a16:creationId xmlns:a16="http://schemas.microsoft.com/office/drawing/2014/main" id="{00000000-0008-0000-0500-00009E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59" name="CustomShape 1" hidden="1">
          <a:extLst>
            <a:ext uri="{FF2B5EF4-FFF2-40B4-BE49-F238E27FC236}">
              <a16:creationId xmlns:a16="http://schemas.microsoft.com/office/drawing/2014/main" id="{00000000-0008-0000-0500-00009F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60" name="CustomShape 1" hidden="1">
          <a:extLst>
            <a:ext uri="{FF2B5EF4-FFF2-40B4-BE49-F238E27FC236}">
              <a16:creationId xmlns:a16="http://schemas.microsoft.com/office/drawing/2014/main" id="{00000000-0008-0000-0500-0000A0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61" name="CustomShape 1" hidden="1">
          <a:extLst>
            <a:ext uri="{FF2B5EF4-FFF2-40B4-BE49-F238E27FC236}">
              <a16:creationId xmlns:a16="http://schemas.microsoft.com/office/drawing/2014/main" id="{00000000-0008-0000-0500-0000A1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62" name="CustomShape 1" hidden="1">
          <a:extLst>
            <a:ext uri="{FF2B5EF4-FFF2-40B4-BE49-F238E27FC236}">
              <a16:creationId xmlns:a16="http://schemas.microsoft.com/office/drawing/2014/main" id="{00000000-0008-0000-0500-0000A2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63" name="CustomShape 1" hidden="1">
          <a:extLst>
            <a:ext uri="{FF2B5EF4-FFF2-40B4-BE49-F238E27FC236}">
              <a16:creationId xmlns:a16="http://schemas.microsoft.com/office/drawing/2014/main" id="{00000000-0008-0000-0500-0000A3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64" name="CustomShape 1" hidden="1">
          <a:extLst>
            <a:ext uri="{FF2B5EF4-FFF2-40B4-BE49-F238E27FC236}">
              <a16:creationId xmlns:a16="http://schemas.microsoft.com/office/drawing/2014/main" id="{00000000-0008-0000-0500-0000A4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65" name="CustomShape 1" hidden="1">
          <a:extLst>
            <a:ext uri="{FF2B5EF4-FFF2-40B4-BE49-F238E27FC236}">
              <a16:creationId xmlns:a16="http://schemas.microsoft.com/office/drawing/2014/main" id="{00000000-0008-0000-0500-0000A5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66" name="CustomShape 1" hidden="1">
          <a:extLst>
            <a:ext uri="{FF2B5EF4-FFF2-40B4-BE49-F238E27FC236}">
              <a16:creationId xmlns:a16="http://schemas.microsoft.com/office/drawing/2014/main" id="{00000000-0008-0000-0500-0000A6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67" name="CustomShape 1" hidden="1">
          <a:extLst>
            <a:ext uri="{FF2B5EF4-FFF2-40B4-BE49-F238E27FC236}">
              <a16:creationId xmlns:a16="http://schemas.microsoft.com/office/drawing/2014/main" id="{00000000-0008-0000-0500-0000A7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68" name="CustomShape 1" hidden="1">
          <a:extLst>
            <a:ext uri="{FF2B5EF4-FFF2-40B4-BE49-F238E27FC236}">
              <a16:creationId xmlns:a16="http://schemas.microsoft.com/office/drawing/2014/main" id="{00000000-0008-0000-0500-0000A8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69" name="CustomShape 1" hidden="1">
          <a:extLst>
            <a:ext uri="{FF2B5EF4-FFF2-40B4-BE49-F238E27FC236}">
              <a16:creationId xmlns:a16="http://schemas.microsoft.com/office/drawing/2014/main" id="{00000000-0008-0000-0500-0000A9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70" name="CustomShape 1" hidden="1">
          <a:extLst>
            <a:ext uri="{FF2B5EF4-FFF2-40B4-BE49-F238E27FC236}">
              <a16:creationId xmlns:a16="http://schemas.microsoft.com/office/drawing/2014/main" id="{00000000-0008-0000-0500-0000AA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71" name="CustomShape 1" hidden="1">
          <a:extLst>
            <a:ext uri="{FF2B5EF4-FFF2-40B4-BE49-F238E27FC236}">
              <a16:creationId xmlns:a16="http://schemas.microsoft.com/office/drawing/2014/main" id="{00000000-0008-0000-0500-0000AB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72" name="CustomShape 1" hidden="1">
          <a:extLst>
            <a:ext uri="{FF2B5EF4-FFF2-40B4-BE49-F238E27FC236}">
              <a16:creationId xmlns:a16="http://schemas.microsoft.com/office/drawing/2014/main" id="{00000000-0008-0000-0500-0000AC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73" name="CustomShape 1" hidden="1">
          <a:extLst>
            <a:ext uri="{FF2B5EF4-FFF2-40B4-BE49-F238E27FC236}">
              <a16:creationId xmlns:a16="http://schemas.microsoft.com/office/drawing/2014/main" id="{00000000-0008-0000-0500-0000AD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74" name="CustomShape 1" hidden="1">
          <a:extLst>
            <a:ext uri="{FF2B5EF4-FFF2-40B4-BE49-F238E27FC236}">
              <a16:creationId xmlns:a16="http://schemas.microsoft.com/office/drawing/2014/main" id="{00000000-0008-0000-0500-0000AE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75" name="CustomShape 1" hidden="1">
          <a:extLst>
            <a:ext uri="{FF2B5EF4-FFF2-40B4-BE49-F238E27FC236}">
              <a16:creationId xmlns:a16="http://schemas.microsoft.com/office/drawing/2014/main" id="{00000000-0008-0000-0500-0000AF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76" name="CustomShape 1" hidden="1">
          <a:extLst>
            <a:ext uri="{FF2B5EF4-FFF2-40B4-BE49-F238E27FC236}">
              <a16:creationId xmlns:a16="http://schemas.microsoft.com/office/drawing/2014/main" id="{00000000-0008-0000-0500-0000B0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77" name="CustomShape 1" hidden="1">
          <a:extLst>
            <a:ext uri="{FF2B5EF4-FFF2-40B4-BE49-F238E27FC236}">
              <a16:creationId xmlns:a16="http://schemas.microsoft.com/office/drawing/2014/main" id="{00000000-0008-0000-0500-0000B1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78" name="CustomShape 1" hidden="1">
          <a:extLst>
            <a:ext uri="{FF2B5EF4-FFF2-40B4-BE49-F238E27FC236}">
              <a16:creationId xmlns:a16="http://schemas.microsoft.com/office/drawing/2014/main" id="{00000000-0008-0000-0500-0000B2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333720</xdr:colOff>
      <xdr:row>36</xdr:row>
      <xdr:rowOff>63720</xdr:rowOff>
    </xdr:to>
    <xdr:sp macro="" textlink="">
      <xdr:nvSpPr>
        <xdr:cNvPr id="179" name="CustomShape 1" hidden="1">
          <a:extLst>
            <a:ext uri="{FF2B5EF4-FFF2-40B4-BE49-F238E27FC236}">
              <a16:creationId xmlns:a16="http://schemas.microsoft.com/office/drawing/2014/main" id="{00000000-0008-0000-0500-0000B3000000}"/>
            </a:ext>
          </a:extLst>
        </xdr:cNvPr>
        <xdr:cNvSpPr/>
      </xdr:nvSpPr>
      <xdr:spPr>
        <a:xfrm>
          <a:off x="0" y="0"/>
          <a:ext cx="8760240" cy="76276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180" name="CustomShape 1" hidden="1">
          <a:extLst>
            <a:ext uri="{FF2B5EF4-FFF2-40B4-BE49-F238E27FC236}">
              <a16:creationId xmlns:a16="http://schemas.microsoft.com/office/drawing/2014/main" id="{00000000-0008-0000-0500-0000B4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181" name="CustomShape 1" hidden="1">
          <a:extLst>
            <a:ext uri="{FF2B5EF4-FFF2-40B4-BE49-F238E27FC236}">
              <a16:creationId xmlns:a16="http://schemas.microsoft.com/office/drawing/2014/main" id="{00000000-0008-0000-0500-0000B5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182" name="CustomShape 1" hidden="1">
          <a:extLst>
            <a:ext uri="{FF2B5EF4-FFF2-40B4-BE49-F238E27FC236}">
              <a16:creationId xmlns:a16="http://schemas.microsoft.com/office/drawing/2014/main" id="{00000000-0008-0000-0500-0000B6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183" name="CustomShape 1" hidden="1">
          <a:extLst>
            <a:ext uri="{FF2B5EF4-FFF2-40B4-BE49-F238E27FC236}">
              <a16:creationId xmlns:a16="http://schemas.microsoft.com/office/drawing/2014/main" id="{00000000-0008-0000-0500-0000B7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184" name="CustomShape 1" hidden="1">
          <a:extLst>
            <a:ext uri="{FF2B5EF4-FFF2-40B4-BE49-F238E27FC236}">
              <a16:creationId xmlns:a16="http://schemas.microsoft.com/office/drawing/2014/main" id="{00000000-0008-0000-0500-0000B8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185" name="CustomShape 1" hidden="1">
          <a:extLst>
            <a:ext uri="{FF2B5EF4-FFF2-40B4-BE49-F238E27FC236}">
              <a16:creationId xmlns:a16="http://schemas.microsoft.com/office/drawing/2014/main" id="{00000000-0008-0000-0500-0000B9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186" name="CustomShape 1" hidden="1">
          <a:extLst>
            <a:ext uri="{FF2B5EF4-FFF2-40B4-BE49-F238E27FC236}">
              <a16:creationId xmlns:a16="http://schemas.microsoft.com/office/drawing/2014/main" id="{00000000-0008-0000-0500-0000BA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187" name="CustomShape 1" hidden="1">
          <a:extLst>
            <a:ext uri="{FF2B5EF4-FFF2-40B4-BE49-F238E27FC236}">
              <a16:creationId xmlns:a16="http://schemas.microsoft.com/office/drawing/2014/main" id="{00000000-0008-0000-0500-0000BB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188" name="CustomShape 1" hidden="1">
          <a:extLst>
            <a:ext uri="{FF2B5EF4-FFF2-40B4-BE49-F238E27FC236}">
              <a16:creationId xmlns:a16="http://schemas.microsoft.com/office/drawing/2014/main" id="{00000000-0008-0000-0500-0000BC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189" name="CustomShape 1" hidden="1">
          <a:extLst>
            <a:ext uri="{FF2B5EF4-FFF2-40B4-BE49-F238E27FC236}">
              <a16:creationId xmlns:a16="http://schemas.microsoft.com/office/drawing/2014/main" id="{00000000-0008-0000-0500-0000BD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190" name="CustomShape 1" hidden="1">
          <a:extLst>
            <a:ext uri="{FF2B5EF4-FFF2-40B4-BE49-F238E27FC236}">
              <a16:creationId xmlns:a16="http://schemas.microsoft.com/office/drawing/2014/main" id="{00000000-0008-0000-0500-0000BE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191" name="CustomShape 1" hidden="1">
          <a:extLst>
            <a:ext uri="{FF2B5EF4-FFF2-40B4-BE49-F238E27FC236}">
              <a16:creationId xmlns:a16="http://schemas.microsoft.com/office/drawing/2014/main" id="{00000000-0008-0000-0500-0000BF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192" name="CustomShape 1" hidden="1">
          <a:extLst>
            <a:ext uri="{FF2B5EF4-FFF2-40B4-BE49-F238E27FC236}">
              <a16:creationId xmlns:a16="http://schemas.microsoft.com/office/drawing/2014/main" id="{00000000-0008-0000-0500-0000C0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193" name="CustomShape 1" hidden="1">
          <a:extLst>
            <a:ext uri="{FF2B5EF4-FFF2-40B4-BE49-F238E27FC236}">
              <a16:creationId xmlns:a16="http://schemas.microsoft.com/office/drawing/2014/main" id="{00000000-0008-0000-0500-0000C1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194" name="CustomShape 1" hidden="1">
          <a:extLst>
            <a:ext uri="{FF2B5EF4-FFF2-40B4-BE49-F238E27FC236}">
              <a16:creationId xmlns:a16="http://schemas.microsoft.com/office/drawing/2014/main" id="{00000000-0008-0000-0500-0000C2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195" name="CustomShape 1" hidden="1">
          <a:extLst>
            <a:ext uri="{FF2B5EF4-FFF2-40B4-BE49-F238E27FC236}">
              <a16:creationId xmlns:a16="http://schemas.microsoft.com/office/drawing/2014/main" id="{00000000-0008-0000-0500-0000C3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196" name="CustomShape 1" hidden="1">
          <a:extLst>
            <a:ext uri="{FF2B5EF4-FFF2-40B4-BE49-F238E27FC236}">
              <a16:creationId xmlns:a16="http://schemas.microsoft.com/office/drawing/2014/main" id="{00000000-0008-0000-0500-0000C4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197" name="CustomShape 1" hidden="1">
          <a:extLst>
            <a:ext uri="{FF2B5EF4-FFF2-40B4-BE49-F238E27FC236}">
              <a16:creationId xmlns:a16="http://schemas.microsoft.com/office/drawing/2014/main" id="{00000000-0008-0000-0500-0000C5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198" name="CustomShape 1" hidden="1">
          <a:extLst>
            <a:ext uri="{FF2B5EF4-FFF2-40B4-BE49-F238E27FC236}">
              <a16:creationId xmlns:a16="http://schemas.microsoft.com/office/drawing/2014/main" id="{00000000-0008-0000-0500-0000C6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199" name="CustomShape 1" hidden="1">
          <a:extLst>
            <a:ext uri="{FF2B5EF4-FFF2-40B4-BE49-F238E27FC236}">
              <a16:creationId xmlns:a16="http://schemas.microsoft.com/office/drawing/2014/main" id="{00000000-0008-0000-0500-0000C7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00" name="CustomShape 1" hidden="1">
          <a:extLst>
            <a:ext uri="{FF2B5EF4-FFF2-40B4-BE49-F238E27FC236}">
              <a16:creationId xmlns:a16="http://schemas.microsoft.com/office/drawing/2014/main" id="{00000000-0008-0000-0500-0000C8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01" name="CustomShape 1" hidden="1">
          <a:extLst>
            <a:ext uri="{FF2B5EF4-FFF2-40B4-BE49-F238E27FC236}">
              <a16:creationId xmlns:a16="http://schemas.microsoft.com/office/drawing/2014/main" id="{00000000-0008-0000-0500-0000C9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02" name="CustomShape 1" hidden="1">
          <a:extLst>
            <a:ext uri="{FF2B5EF4-FFF2-40B4-BE49-F238E27FC236}">
              <a16:creationId xmlns:a16="http://schemas.microsoft.com/office/drawing/2014/main" id="{00000000-0008-0000-0500-0000CA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03" name="CustomShape 1" hidden="1">
          <a:extLst>
            <a:ext uri="{FF2B5EF4-FFF2-40B4-BE49-F238E27FC236}">
              <a16:creationId xmlns:a16="http://schemas.microsoft.com/office/drawing/2014/main" id="{00000000-0008-0000-0500-0000CB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04" name="CustomShape 1" hidden="1">
          <a:extLst>
            <a:ext uri="{FF2B5EF4-FFF2-40B4-BE49-F238E27FC236}">
              <a16:creationId xmlns:a16="http://schemas.microsoft.com/office/drawing/2014/main" id="{00000000-0008-0000-0500-0000CC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05" name="CustomShape 1" hidden="1">
          <a:extLst>
            <a:ext uri="{FF2B5EF4-FFF2-40B4-BE49-F238E27FC236}">
              <a16:creationId xmlns:a16="http://schemas.microsoft.com/office/drawing/2014/main" id="{00000000-0008-0000-0500-0000CD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06" name="CustomShape 1" hidden="1">
          <a:extLst>
            <a:ext uri="{FF2B5EF4-FFF2-40B4-BE49-F238E27FC236}">
              <a16:creationId xmlns:a16="http://schemas.microsoft.com/office/drawing/2014/main" id="{00000000-0008-0000-0500-0000CE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07" name="CustomShape 1" hidden="1">
          <a:extLst>
            <a:ext uri="{FF2B5EF4-FFF2-40B4-BE49-F238E27FC236}">
              <a16:creationId xmlns:a16="http://schemas.microsoft.com/office/drawing/2014/main" id="{00000000-0008-0000-0500-0000CF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08" name="CustomShape 1" hidden="1">
          <a:extLst>
            <a:ext uri="{FF2B5EF4-FFF2-40B4-BE49-F238E27FC236}">
              <a16:creationId xmlns:a16="http://schemas.microsoft.com/office/drawing/2014/main" id="{00000000-0008-0000-0500-0000D0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09" name="CustomShape 1" hidden="1">
          <a:extLst>
            <a:ext uri="{FF2B5EF4-FFF2-40B4-BE49-F238E27FC236}">
              <a16:creationId xmlns:a16="http://schemas.microsoft.com/office/drawing/2014/main" id="{00000000-0008-0000-0500-0000D1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10" name="CustomShape 1" hidden="1">
          <a:extLst>
            <a:ext uri="{FF2B5EF4-FFF2-40B4-BE49-F238E27FC236}">
              <a16:creationId xmlns:a16="http://schemas.microsoft.com/office/drawing/2014/main" id="{00000000-0008-0000-0500-0000D2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11" name="CustomShape 1" hidden="1">
          <a:extLst>
            <a:ext uri="{FF2B5EF4-FFF2-40B4-BE49-F238E27FC236}">
              <a16:creationId xmlns:a16="http://schemas.microsoft.com/office/drawing/2014/main" id="{00000000-0008-0000-0500-0000D3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12" name="CustomShape 1" hidden="1">
          <a:extLst>
            <a:ext uri="{FF2B5EF4-FFF2-40B4-BE49-F238E27FC236}">
              <a16:creationId xmlns:a16="http://schemas.microsoft.com/office/drawing/2014/main" id="{00000000-0008-0000-0500-0000D4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13" name="CustomShape 1" hidden="1">
          <a:extLst>
            <a:ext uri="{FF2B5EF4-FFF2-40B4-BE49-F238E27FC236}">
              <a16:creationId xmlns:a16="http://schemas.microsoft.com/office/drawing/2014/main" id="{00000000-0008-0000-0500-0000D5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14" name="CustomShape 1" hidden="1">
          <a:extLst>
            <a:ext uri="{FF2B5EF4-FFF2-40B4-BE49-F238E27FC236}">
              <a16:creationId xmlns:a16="http://schemas.microsoft.com/office/drawing/2014/main" id="{00000000-0008-0000-0500-0000D6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15" name="CustomShape 1" hidden="1">
          <a:extLst>
            <a:ext uri="{FF2B5EF4-FFF2-40B4-BE49-F238E27FC236}">
              <a16:creationId xmlns:a16="http://schemas.microsoft.com/office/drawing/2014/main" id="{00000000-0008-0000-0500-0000D7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16" name="CustomShape 1" hidden="1">
          <a:extLst>
            <a:ext uri="{FF2B5EF4-FFF2-40B4-BE49-F238E27FC236}">
              <a16:creationId xmlns:a16="http://schemas.microsoft.com/office/drawing/2014/main" id="{00000000-0008-0000-0500-0000D8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17" name="CustomShape 1" hidden="1">
          <a:extLst>
            <a:ext uri="{FF2B5EF4-FFF2-40B4-BE49-F238E27FC236}">
              <a16:creationId xmlns:a16="http://schemas.microsoft.com/office/drawing/2014/main" id="{00000000-0008-0000-0500-0000D9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18" name="CustomShape 1" hidden="1">
          <a:extLst>
            <a:ext uri="{FF2B5EF4-FFF2-40B4-BE49-F238E27FC236}">
              <a16:creationId xmlns:a16="http://schemas.microsoft.com/office/drawing/2014/main" id="{00000000-0008-0000-0500-0000DA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19" name="CustomShape 1" hidden="1">
          <a:extLst>
            <a:ext uri="{FF2B5EF4-FFF2-40B4-BE49-F238E27FC236}">
              <a16:creationId xmlns:a16="http://schemas.microsoft.com/office/drawing/2014/main" id="{00000000-0008-0000-0500-0000DB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20" name="CustomShape 1" hidden="1">
          <a:extLst>
            <a:ext uri="{FF2B5EF4-FFF2-40B4-BE49-F238E27FC236}">
              <a16:creationId xmlns:a16="http://schemas.microsoft.com/office/drawing/2014/main" id="{00000000-0008-0000-0500-0000DC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21" name="CustomShape 1" hidden="1">
          <a:extLst>
            <a:ext uri="{FF2B5EF4-FFF2-40B4-BE49-F238E27FC236}">
              <a16:creationId xmlns:a16="http://schemas.microsoft.com/office/drawing/2014/main" id="{00000000-0008-0000-0500-0000DD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22" name="CustomShape 1" hidden="1">
          <a:extLst>
            <a:ext uri="{FF2B5EF4-FFF2-40B4-BE49-F238E27FC236}">
              <a16:creationId xmlns:a16="http://schemas.microsoft.com/office/drawing/2014/main" id="{00000000-0008-0000-0500-0000DE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23" name="CustomShape 1" hidden="1">
          <a:extLst>
            <a:ext uri="{FF2B5EF4-FFF2-40B4-BE49-F238E27FC236}">
              <a16:creationId xmlns:a16="http://schemas.microsoft.com/office/drawing/2014/main" id="{00000000-0008-0000-0500-0000DF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24" name="CustomShape 1" hidden="1">
          <a:extLst>
            <a:ext uri="{FF2B5EF4-FFF2-40B4-BE49-F238E27FC236}">
              <a16:creationId xmlns:a16="http://schemas.microsoft.com/office/drawing/2014/main" id="{00000000-0008-0000-0500-0000E0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25" name="CustomShape 1" hidden="1">
          <a:extLst>
            <a:ext uri="{FF2B5EF4-FFF2-40B4-BE49-F238E27FC236}">
              <a16:creationId xmlns:a16="http://schemas.microsoft.com/office/drawing/2014/main" id="{00000000-0008-0000-0500-0000E1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26" name="CustomShape 1" hidden="1">
          <a:extLst>
            <a:ext uri="{FF2B5EF4-FFF2-40B4-BE49-F238E27FC236}">
              <a16:creationId xmlns:a16="http://schemas.microsoft.com/office/drawing/2014/main" id="{00000000-0008-0000-0500-0000E2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27" name="CustomShape 1" hidden="1">
          <a:extLst>
            <a:ext uri="{FF2B5EF4-FFF2-40B4-BE49-F238E27FC236}">
              <a16:creationId xmlns:a16="http://schemas.microsoft.com/office/drawing/2014/main" id="{00000000-0008-0000-0500-0000E3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28" name="CustomShape 1" hidden="1">
          <a:extLst>
            <a:ext uri="{FF2B5EF4-FFF2-40B4-BE49-F238E27FC236}">
              <a16:creationId xmlns:a16="http://schemas.microsoft.com/office/drawing/2014/main" id="{00000000-0008-0000-0500-0000E4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29" name="CustomShape 1" hidden="1">
          <a:extLst>
            <a:ext uri="{FF2B5EF4-FFF2-40B4-BE49-F238E27FC236}">
              <a16:creationId xmlns:a16="http://schemas.microsoft.com/office/drawing/2014/main" id="{00000000-0008-0000-0500-0000E5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30" name="CustomShape 1" hidden="1">
          <a:extLst>
            <a:ext uri="{FF2B5EF4-FFF2-40B4-BE49-F238E27FC236}">
              <a16:creationId xmlns:a16="http://schemas.microsoft.com/office/drawing/2014/main" id="{00000000-0008-0000-0500-0000E6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31" name="CustomShape 1" hidden="1">
          <a:extLst>
            <a:ext uri="{FF2B5EF4-FFF2-40B4-BE49-F238E27FC236}">
              <a16:creationId xmlns:a16="http://schemas.microsoft.com/office/drawing/2014/main" id="{00000000-0008-0000-0500-0000E7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32" name="CustomShape 1" hidden="1">
          <a:extLst>
            <a:ext uri="{FF2B5EF4-FFF2-40B4-BE49-F238E27FC236}">
              <a16:creationId xmlns:a16="http://schemas.microsoft.com/office/drawing/2014/main" id="{00000000-0008-0000-0500-0000E8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33" name="CustomShape 1" hidden="1">
          <a:extLst>
            <a:ext uri="{FF2B5EF4-FFF2-40B4-BE49-F238E27FC236}">
              <a16:creationId xmlns:a16="http://schemas.microsoft.com/office/drawing/2014/main" id="{00000000-0008-0000-0500-0000E9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34" name="CustomShape 1" hidden="1">
          <a:extLst>
            <a:ext uri="{FF2B5EF4-FFF2-40B4-BE49-F238E27FC236}">
              <a16:creationId xmlns:a16="http://schemas.microsoft.com/office/drawing/2014/main" id="{00000000-0008-0000-0500-0000EA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35" name="CustomShape 1" hidden="1">
          <a:extLst>
            <a:ext uri="{FF2B5EF4-FFF2-40B4-BE49-F238E27FC236}">
              <a16:creationId xmlns:a16="http://schemas.microsoft.com/office/drawing/2014/main" id="{00000000-0008-0000-0500-0000EB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36" name="CustomShape 1" hidden="1">
          <a:extLst>
            <a:ext uri="{FF2B5EF4-FFF2-40B4-BE49-F238E27FC236}">
              <a16:creationId xmlns:a16="http://schemas.microsoft.com/office/drawing/2014/main" id="{00000000-0008-0000-0500-0000EC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37" name="CustomShape 1" hidden="1">
          <a:extLst>
            <a:ext uri="{FF2B5EF4-FFF2-40B4-BE49-F238E27FC236}">
              <a16:creationId xmlns:a16="http://schemas.microsoft.com/office/drawing/2014/main" id="{00000000-0008-0000-0500-0000ED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38" name="CustomShape 1" hidden="1">
          <a:extLst>
            <a:ext uri="{FF2B5EF4-FFF2-40B4-BE49-F238E27FC236}">
              <a16:creationId xmlns:a16="http://schemas.microsoft.com/office/drawing/2014/main" id="{00000000-0008-0000-0500-0000EE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39" name="CustomShape 1" hidden="1">
          <a:extLst>
            <a:ext uri="{FF2B5EF4-FFF2-40B4-BE49-F238E27FC236}">
              <a16:creationId xmlns:a16="http://schemas.microsoft.com/office/drawing/2014/main" id="{00000000-0008-0000-0500-0000EF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40" name="CustomShape 1" hidden="1">
          <a:extLst>
            <a:ext uri="{FF2B5EF4-FFF2-40B4-BE49-F238E27FC236}">
              <a16:creationId xmlns:a16="http://schemas.microsoft.com/office/drawing/2014/main" id="{00000000-0008-0000-0500-0000F0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41" name="CustomShape 1" hidden="1">
          <a:extLst>
            <a:ext uri="{FF2B5EF4-FFF2-40B4-BE49-F238E27FC236}">
              <a16:creationId xmlns:a16="http://schemas.microsoft.com/office/drawing/2014/main" id="{00000000-0008-0000-0500-0000F1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42" name="CustomShape 1" hidden="1">
          <a:extLst>
            <a:ext uri="{FF2B5EF4-FFF2-40B4-BE49-F238E27FC236}">
              <a16:creationId xmlns:a16="http://schemas.microsoft.com/office/drawing/2014/main" id="{00000000-0008-0000-0500-0000F2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43" name="CustomShape 1" hidden="1">
          <a:extLst>
            <a:ext uri="{FF2B5EF4-FFF2-40B4-BE49-F238E27FC236}">
              <a16:creationId xmlns:a16="http://schemas.microsoft.com/office/drawing/2014/main" id="{00000000-0008-0000-0500-0000F3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44" name="CustomShape 1" hidden="1">
          <a:extLst>
            <a:ext uri="{FF2B5EF4-FFF2-40B4-BE49-F238E27FC236}">
              <a16:creationId xmlns:a16="http://schemas.microsoft.com/office/drawing/2014/main" id="{00000000-0008-0000-0500-0000F4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45" name="CustomShape 1" hidden="1">
          <a:extLst>
            <a:ext uri="{FF2B5EF4-FFF2-40B4-BE49-F238E27FC236}">
              <a16:creationId xmlns:a16="http://schemas.microsoft.com/office/drawing/2014/main" id="{00000000-0008-0000-0500-0000F5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46" name="CustomShape 1" hidden="1">
          <a:extLst>
            <a:ext uri="{FF2B5EF4-FFF2-40B4-BE49-F238E27FC236}">
              <a16:creationId xmlns:a16="http://schemas.microsoft.com/office/drawing/2014/main" id="{00000000-0008-0000-0500-0000F6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47" name="CustomShape 1" hidden="1">
          <a:extLst>
            <a:ext uri="{FF2B5EF4-FFF2-40B4-BE49-F238E27FC236}">
              <a16:creationId xmlns:a16="http://schemas.microsoft.com/office/drawing/2014/main" id="{00000000-0008-0000-0500-0000F7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48" name="CustomShape 1" hidden="1">
          <a:extLst>
            <a:ext uri="{FF2B5EF4-FFF2-40B4-BE49-F238E27FC236}">
              <a16:creationId xmlns:a16="http://schemas.microsoft.com/office/drawing/2014/main" id="{00000000-0008-0000-0500-0000F8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49" name="CustomShape 1" hidden="1">
          <a:extLst>
            <a:ext uri="{FF2B5EF4-FFF2-40B4-BE49-F238E27FC236}">
              <a16:creationId xmlns:a16="http://schemas.microsoft.com/office/drawing/2014/main" id="{00000000-0008-0000-0500-0000F9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50" name="CustomShape 1" hidden="1">
          <a:extLst>
            <a:ext uri="{FF2B5EF4-FFF2-40B4-BE49-F238E27FC236}">
              <a16:creationId xmlns:a16="http://schemas.microsoft.com/office/drawing/2014/main" id="{00000000-0008-0000-0500-0000FA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51" name="CustomShape 1" hidden="1">
          <a:extLst>
            <a:ext uri="{FF2B5EF4-FFF2-40B4-BE49-F238E27FC236}">
              <a16:creationId xmlns:a16="http://schemas.microsoft.com/office/drawing/2014/main" id="{00000000-0008-0000-0500-0000FB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52" name="CustomShape 1" hidden="1">
          <a:extLst>
            <a:ext uri="{FF2B5EF4-FFF2-40B4-BE49-F238E27FC236}">
              <a16:creationId xmlns:a16="http://schemas.microsoft.com/office/drawing/2014/main" id="{00000000-0008-0000-0500-0000FC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53" name="CustomShape 1" hidden="1">
          <a:extLst>
            <a:ext uri="{FF2B5EF4-FFF2-40B4-BE49-F238E27FC236}">
              <a16:creationId xmlns:a16="http://schemas.microsoft.com/office/drawing/2014/main" id="{00000000-0008-0000-0500-0000FD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54" name="CustomShape 1" hidden="1">
          <a:extLst>
            <a:ext uri="{FF2B5EF4-FFF2-40B4-BE49-F238E27FC236}">
              <a16:creationId xmlns:a16="http://schemas.microsoft.com/office/drawing/2014/main" id="{00000000-0008-0000-0500-0000FE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55" name="CustomShape 1" hidden="1">
          <a:extLst>
            <a:ext uri="{FF2B5EF4-FFF2-40B4-BE49-F238E27FC236}">
              <a16:creationId xmlns:a16="http://schemas.microsoft.com/office/drawing/2014/main" id="{00000000-0008-0000-0500-0000FF00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56" name="CustomShape 1" hidden="1">
          <a:extLst>
            <a:ext uri="{FF2B5EF4-FFF2-40B4-BE49-F238E27FC236}">
              <a16:creationId xmlns:a16="http://schemas.microsoft.com/office/drawing/2014/main" id="{00000000-0008-0000-0500-00000001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57" name="CustomShape 1" hidden="1">
          <a:extLst>
            <a:ext uri="{FF2B5EF4-FFF2-40B4-BE49-F238E27FC236}">
              <a16:creationId xmlns:a16="http://schemas.microsoft.com/office/drawing/2014/main" id="{00000000-0008-0000-0500-00000101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58" name="CustomShape 1" hidden="1">
          <a:extLst>
            <a:ext uri="{FF2B5EF4-FFF2-40B4-BE49-F238E27FC236}">
              <a16:creationId xmlns:a16="http://schemas.microsoft.com/office/drawing/2014/main" id="{00000000-0008-0000-0500-00000201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59" name="CustomShape 1" hidden="1">
          <a:extLst>
            <a:ext uri="{FF2B5EF4-FFF2-40B4-BE49-F238E27FC236}">
              <a16:creationId xmlns:a16="http://schemas.microsoft.com/office/drawing/2014/main" id="{00000000-0008-0000-0500-00000301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60" name="CustomShape 1" hidden="1">
          <a:extLst>
            <a:ext uri="{FF2B5EF4-FFF2-40B4-BE49-F238E27FC236}">
              <a16:creationId xmlns:a16="http://schemas.microsoft.com/office/drawing/2014/main" id="{00000000-0008-0000-0500-00000401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61" name="CustomShape 1" hidden="1">
          <a:extLst>
            <a:ext uri="{FF2B5EF4-FFF2-40B4-BE49-F238E27FC236}">
              <a16:creationId xmlns:a16="http://schemas.microsoft.com/office/drawing/2014/main" id="{00000000-0008-0000-0500-00000501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62" name="CustomShape 1" hidden="1">
          <a:extLst>
            <a:ext uri="{FF2B5EF4-FFF2-40B4-BE49-F238E27FC236}">
              <a16:creationId xmlns:a16="http://schemas.microsoft.com/office/drawing/2014/main" id="{00000000-0008-0000-0500-00000601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63" name="CustomShape 1" hidden="1">
          <a:extLst>
            <a:ext uri="{FF2B5EF4-FFF2-40B4-BE49-F238E27FC236}">
              <a16:creationId xmlns:a16="http://schemas.microsoft.com/office/drawing/2014/main" id="{00000000-0008-0000-0500-00000701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64" name="CustomShape 1" hidden="1">
          <a:extLst>
            <a:ext uri="{FF2B5EF4-FFF2-40B4-BE49-F238E27FC236}">
              <a16:creationId xmlns:a16="http://schemas.microsoft.com/office/drawing/2014/main" id="{00000000-0008-0000-0500-00000801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65" name="CustomShape 1" hidden="1">
          <a:extLst>
            <a:ext uri="{FF2B5EF4-FFF2-40B4-BE49-F238E27FC236}">
              <a16:creationId xmlns:a16="http://schemas.microsoft.com/office/drawing/2014/main" id="{00000000-0008-0000-0500-00000901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66" name="CustomShape 1" hidden="1">
          <a:extLst>
            <a:ext uri="{FF2B5EF4-FFF2-40B4-BE49-F238E27FC236}">
              <a16:creationId xmlns:a16="http://schemas.microsoft.com/office/drawing/2014/main" id="{00000000-0008-0000-0500-00000A01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67" name="CustomShape 1" hidden="1">
          <a:extLst>
            <a:ext uri="{FF2B5EF4-FFF2-40B4-BE49-F238E27FC236}">
              <a16:creationId xmlns:a16="http://schemas.microsoft.com/office/drawing/2014/main" id="{00000000-0008-0000-0500-00000B01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336600</xdr:colOff>
      <xdr:row>36</xdr:row>
      <xdr:rowOff>66600</xdr:rowOff>
    </xdr:to>
    <xdr:sp macro="" textlink="">
      <xdr:nvSpPr>
        <xdr:cNvPr id="268" name="CustomShape 1" hidden="1">
          <a:extLst>
            <a:ext uri="{FF2B5EF4-FFF2-40B4-BE49-F238E27FC236}">
              <a16:creationId xmlns:a16="http://schemas.microsoft.com/office/drawing/2014/main" id="{00000000-0008-0000-0500-00000C010000}"/>
            </a:ext>
          </a:extLst>
        </xdr:cNvPr>
        <xdr:cNvSpPr/>
      </xdr:nvSpPr>
      <xdr:spPr>
        <a:xfrm>
          <a:off x="0" y="0"/>
          <a:ext cx="8763120" cy="76305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69" name="CustomShape 1" hidden="1">
          <a:extLst>
            <a:ext uri="{FF2B5EF4-FFF2-40B4-BE49-F238E27FC236}">
              <a16:creationId xmlns:a16="http://schemas.microsoft.com/office/drawing/2014/main" id="{00000000-0008-0000-0500-00000D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70" name="CustomShape 1" hidden="1">
          <a:extLst>
            <a:ext uri="{FF2B5EF4-FFF2-40B4-BE49-F238E27FC236}">
              <a16:creationId xmlns:a16="http://schemas.microsoft.com/office/drawing/2014/main" id="{00000000-0008-0000-0500-00000E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71" name="CustomShape 1" hidden="1">
          <a:extLst>
            <a:ext uri="{FF2B5EF4-FFF2-40B4-BE49-F238E27FC236}">
              <a16:creationId xmlns:a16="http://schemas.microsoft.com/office/drawing/2014/main" id="{00000000-0008-0000-0500-00000F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72" name="CustomShape 1" hidden="1">
          <a:extLst>
            <a:ext uri="{FF2B5EF4-FFF2-40B4-BE49-F238E27FC236}">
              <a16:creationId xmlns:a16="http://schemas.microsoft.com/office/drawing/2014/main" id="{00000000-0008-0000-0500-000010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73" name="CustomShape 1" hidden="1">
          <a:extLst>
            <a:ext uri="{FF2B5EF4-FFF2-40B4-BE49-F238E27FC236}">
              <a16:creationId xmlns:a16="http://schemas.microsoft.com/office/drawing/2014/main" id="{00000000-0008-0000-0500-000011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74" name="CustomShape 1" hidden="1">
          <a:extLst>
            <a:ext uri="{FF2B5EF4-FFF2-40B4-BE49-F238E27FC236}">
              <a16:creationId xmlns:a16="http://schemas.microsoft.com/office/drawing/2014/main" id="{00000000-0008-0000-0500-000012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75" name="CustomShape 1" hidden="1">
          <a:extLst>
            <a:ext uri="{FF2B5EF4-FFF2-40B4-BE49-F238E27FC236}">
              <a16:creationId xmlns:a16="http://schemas.microsoft.com/office/drawing/2014/main" id="{00000000-0008-0000-0500-000013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76" name="CustomShape 1" hidden="1">
          <a:extLst>
            <a:ext uri="{FF2B5EF4-FFF2-40B4-BE49-F238E27FC236}">
              <a16:creationId xmlns:a16="http://schemas.microsoft.com/office/drawing/2014/main" id="{00000000-0008-0000-0500-000014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77" name="CustomShape 1" hidden="1">
          <a:extLst>
            <a:ext uri="{FF2B5EF4-FFF2-40B4-BE49-F238E27FC236}">
              <a16:creationId xmlns:a16="http://schemas.microsoft.com/office/drawing/2014/main" id="{00000000-0008-0000-0500-000015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78" name="CustomShape 1" hidden="1">
          <a:extLst>
            <a:ext uri="{FF2B5EF4-FFF2-40B4-BE49-F238E27FC236}">
              <a16:creationId xmlns:a16="http://schemas.microsoft.com/office/drawing/2014/main" id="{00000000-0008-0000-0500-000016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79" name="CustomShape 1" hidden="1">
          <a:extLst>
            <a:ext uri="{FF2B5EF4-FFF2-40B4-BE49-F238E27FC236}">
              <a16:creationId xmlns:a16="http://schemas.microsoft.com/office/drawing/2014/main" id="{00000000-0008-0000-0500-000017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80" name="CustomShape 1" hidden="1">
          <a:extLst>
            <a:ext uri="{FF2B5EF4-FFF2-40B4-BE49-F238E27FC236}">
              <a16:creationId xmlns:a16="http://schemas.microsoft.com/office/drawing/2014/main" id="{00000000-0008-0000-0500-000018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81" name="CustomShape 1" hidden="1">
          <a:extLst>
            <a:ext uri="{FF2B5EF4-FFF2-40B4-BE49-F238E27FC236}">
              <a16:creationId xmlns:a16="http://schemas.microsoft.com/office/drawing/2014/main" id="{00000000-0008-0000-0500-000019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82" name="CustomShape 1" hidden="1">
          <a:extLst>
            <a:ext uri="{FF2B5EF4-FFF2-40B4-BE49-F238E27FC236}">
              <a16:creationId xmlns:a16="http://schemas.microsoft.com/office/drawing/2014/main" id="{00000000-0008-0000-0500-00001A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83" name="CustomShape 1" hidden="1">
          <a:extLst>
            <a:ext uri="{FF2B5EF4-FFF2-40B4-BE49-F238E27FC236}">
              <a16:creationId xmlns:a16="http://schemas.microsoft.com/office/drawing/2014/main" id="{00000000-0008-0000-0500-00001B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84" name="CustomShape 1" hidden="1">
          <a:extLst>
            <a:ext uri="{FF2B5EF4-FFF2-40B4-BE49-F238E27FC236}">
              <a16:creationId xmlns:a16="http://schemas.microsoft.com/office/drawing/2014/main" id="{00000000-0008-0000-0500-00001C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85" name="CustomShape 1" hidden="1">
          <a:extLst>
            <a:ext uri="{FF2B5EF4-FFF2-40B4-BE49-F238E27FC236}">
              <a16:creationId xmlns:a16="http://schemas.microsoft.com/office/drawing/2014/main" id="{00000000-0008-0000-0500-00001D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86" name="CustomShape 1" hidden="1">
          <a:extLst>
            <a:ext uri="{FF2B5EF4-FFF2-40B4-BE49-F238E27FC236}">
              <a16:creationId xmlns:a16="http://schemas.microsoft.com/office/drawing/2014/main" id="{00000000-0008-0000-0500-00001E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87" name="CustomShape 1" hidden="1">
          <a:extLst>
            <a:ext uri="{FF2B5EF4-FFF2-40B4-BE49-F238E27FC236}">
              <a16:creationId xmlns:a16="http://schemas.microsoft.com/office/drawing/2014/main" id="{00000000-0008-0000-0500-00001F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88" name="CustomShape 1" hidden="1">
          <a:extLst>
            <a:ext uri="{FF2B5EF4-FFF2-40B4-BE49-F238E27FC236}">
              <a16:creationId xmlns:a16="http://schemas.microsoft.com/office/drawing/2014/main" id="{00000000-0008-0000-0500-000020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89" name="CustomShape 1" hidden="1">
          <a:extLst>
            <a:ext uri="{FF2B5EF4-FFF2-40B4-BE49-F238E27FC236}">
              <a16:creationId xmlns:a16="http://schemas.microsoft.com/office/drawing/2014/main" id="{00000000-0008-0000-0500-000021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90" name="CustomShape 1" hidden="1">
          <a:extLst>
            <a:ext uri="{FF2B5EF4-FFF2-40B4-BE49-F238E27FC236}">
              <a16:creationId xmlns:a16="http://schemas.microsoft.com/office/drawing/2014/main" id="{00000000-0008-0000-0500-000022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91" name="CustomShape 1" hidden="1">
          <a:extLst>
            <a:ext uri="{FF2B5EF4-FFF2-40B4-BE49-F238E27FC236}">
              <a16:creationId xmlns:a16="http://schemas.microsoft.com/office/drawing/2014/main" id="{00000000-0008-0000-0500-000023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92" name="CustomShape 1" hidden="1">
          <a:extLst>
            <a:ext uri="{FF2B5EF4-FFF2-40B4-BE49-F238E27FC236}">
              <a16:creationId xmlns:a16="http://schemas.microsoft.com/office/drawing/2014/main" id="{00000000-0008-0000-0500-000024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93" name="CustomShape 1" hidden="1">
          <a:extLst>
            <a:ext uri="{FF2B5EF4-FFF2-40B4-BE49-F238E27FC236}">
              <a16:creationId xmlns:a16="http://schemas.microsoft.com/office/drawing/2014/main" id="{00000000-0008-0000-0500-000025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94" name="CustomShape 1" hidden="1">
          <a:extLst>
            <a:ext uri="{FF2B5EF4-FFF2-40B4-BE49-F238E27FC236}">
              <a16:creationId xmlns:a16="http://schemas.microsoft.com/office/drawing/2014/main" id="{00000000-0008-0000-0500-000026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95" name="CustomShape 1" hidden="1">
          <a:extLst>
            <a:ext uri="{FF2B5EF4-FFF2-40B4-BE49-F238E27FC236}">
              <a16:creationId xmlns:a16="http://schemas.microsoft.com/office/drawing/2014/main" id="{00000000-0008-0000-0500-000027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96" name="CustomShape 1" hidden="1">
          <a:extLst>
            <a:ext uri="{FF2B5EF4-FFF2-40B4-BE49-F238E27FC236}">
              <a16:creationId xmlns:a16="http://schemas.microsoft.com/office/drawing/2014/main" id="{00000000-0008-0000-0500-000028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97" name="CustomShape 1" hidden="1">
          <a:extLst>
            <a:ext uri="{FF2B5EF4-FFF2-40B4-BE49-F238E27FC236}">
              <a16:creationId xmlns:a16="http://schemas.microsoft.com/office/drawing/2014/main" id="{00000000-0008-0000-0500-000029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98" name="CustomShape 1" hidden="1">
          <a:extLst>
            <a:ext uri="{FF2B5EF4-FFF2-40B4-BE49-F238E27FC236}">
              <a16:creationId xmlns:a16="http://schemas.microsoft.com/office/drawing/2014/main" id="{00000000-0008-0000-0500-00002A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299" name="CustomShape 1" hidden="1">
          <a:extLst>
            <a:ext uri="{FF2B5EF4-FFF2-40B4-BE49-F238E27FC236}">
              <a16:creationId xmlns:a16="http://schemas.microsoft.com/office/drawing/2014/main" id="{00000000-0008-0000-0500-00002B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00" name="CustomShape 1" hidden="1">
          <a:extLst>
            <a:ext uri="{FF2B5EF4-FFF2-40B4-BE49-F238E27FC236}">
              <a16:creationId xmlns:a16="http://schemas.microsoft.com/office/drawing/2014/main" id="{00000000-0008-0000-0500-00002C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01" name="CustomShape 1" hidden="1">
          <a:extLst>
            <a:ext uri="{FF2B5EF4-FFF2-40B4-BE49-F238E27FC236}">
              <a16:creationId xmlns:a16="http://schemas.microsoft.com/office/drawing/2014/main" id="{00000000-0008-0000-0500-00002D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02" name="CustomShape 1" hidden="1">
          <a:extLst>
            <a:ext uri="{FF2B5EF4-FFF2-40B4-BE49-F238E27FC236}">
              <a16:creationId xmlns:a16="http://schemas.microsoft.com/office/drawing/2014/main" id="{00000000-0008-0000-0500-00002E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03" name="CustomShape 1" hidden="1">
          <a:extLst>
            <a:ext uri="{FF2B5EF4-FFF2-40B4-BE49-F238E27FC236}">
              <a16:creationId xmlns:a16="http://schemas.microsoft.com/office/drawing/2014/main" id="{00000000-0008-0000-0500-00002F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04" name="CustomShape 1" hidden="1">
          <a:extLst>
            <a:ext uri="{FF2B5EF4-FFF2-40B4-BE49-F238E27FC236}">
              <a16:creationId xmlns:a16="http://schemas.microsoft.com/office/drawing/2014/main" id="{00000000-0008-0000-0500-000030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05" name="CustomShape 1" hidden="1">
          <a:extLst>
            <a:ext uri="{FF2B5EF4-FFF2-40B4-BE49-F238E27FC236}">
              <a16:creationId xmlns:a16="http://schemas.microsoft.com/office/drawing/2014/main" id="{00000000-0008-0000-0500-000031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06" name="CustomShape 1" hidden="1">
          <a:extLst>
            <a:ext uri="{FF2B5EF4-FFF2-40B4-BE49-F238E27FC236}">
              <a16:creationId xmlns:a16="http://schemas.microsoft.com/office/drawing/2014/main" id="{00000000-0008-0000-0500-000032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07" name="CustomShape 1" hidden="1">
          <a:extLst>
            <a:ext uri="{FF2B5EF4-FFF2-40B4-BE49-F238E27FC236}">
              <a16:creationId xmlns:a16="http://schemas.microsoft.com/office/drawing/2014/main" id="{00000000-0008-0000-0500-000033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08" name="CustomShape 1" hidden="1">
          <a:extLst>
            <a:ext uri="{FF2B5EF4-FFF2-40B4-BE49-F238E27FC236}">
              <a16:creationId xmlns:a16="http://schemas.microsoft.com/office/drawing/2014/main" id="{00000000-0008-0000-0500-000034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09" name="CustomShape 1" hidden="1">
          <a:extLst>
            <a:ext uri="{FF2B5EF4-FFF2-40B4-BE49-F238E27FC236}">
              <a16:creationId xmlns:a16="http://schemas.microsoft.com/office/drawing/2014/main" id="{00000000-0008-0000-0500-000035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10" name="CustomShape 1" hidden="1">
          <a:extLst>
            <a:ext uri="{FF2B5EF4-FFF2-40B4-BE49-F238E27FC236}">
              <a16:creationId xmlns:a16="http://schemas.microsoft.com/office/drawing/2014/main" id="{00000000-0008-0000-0500-000036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11" name="CustomShape 1" hidden="1">
          <a:extLst>
            <a:ext uri="{FF2B5EF4-FFF2-40B4-BE49-F238E27FC236}">
              <a16:creationId xmlns:a16="http://schemas.microsoft.com/office/drawing/2014/main" id="{00000000-0008-0000-0500-000037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12" name="CustomShape 1" hidden="1">
          <a:extLst>
            <a:ext uri="{FF2B5EF4-FFF2-40B4-BE49-F238E27FC236}">
              <a16:creationId xmlns:a16="http://schemas.microsoft.com/office/drawing/2014/main" id="{00000000-0008-0000-0500-000038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13" name="CustomShape 1" hidden="1">
          <a:extLst>
            <a:ext uri="{FF2B5EF4-FFF2-40B4-BE49-F238E27FC236}">
              <a16:creationId xmlns:a16="http://schemas.microsoft.com/office/drawing/2014/main" id="{00000000-0008-0000-0500-000039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14" name="CustomShape 1" hidden="1">
          <a:extLst>
            <a:ext uri="{FF2B5EF4-FFF2-40B4-BE49-F238E27FC236}">
              <a16:creationId xmlns:a16="http://schemas.microsoft.com/office/drawing/2014/main" id="{00000000-0008-0000-0500-00003A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15" name="CustomShape 1" hidden="1">
          <a:extLst>
            <a:ext uri="{FF2B5EF4-FFF2-40B4-BE49-F238E27FC236}">
              <a16:creationId xmlns:a16="http://schemas.microsoft.com/office/drawing/2014/main" id="{00000000-0008-0000-0500-00003B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16" name="CustomShape 1" hidden="1">
          <a:extLst>
            <a:ext uri="{FF2B5EF4-FFF2-40B4-BE49-F238E27FC236}">
              <a16:creationId xmlns:a16="http://schemas.microsoft.com/office/drawing/2014/main" id="{00000000-0008-0000-0500-00003C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17" name="CustomShape 1" hidden="1">
          <a:extLst>
            <a:ext uri="{FF2B5EF4-FFF2-40B4-BE49-F238E27FC236}">
              <a16:creationId xmlns:a16="http://schemas.microsoft.com/office/drawing/2014/main" id="{00000000-0008-0000-0500-00003D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18" name="CustomShape 1" hidden="1">
          <a:extLst>
            <a:ext uri="{FF2B5EF4-FFF2-40B4-BE49-F238E27FC236}">
              <a16:creationId xmlns:a16="http://schemas.microsoft.com/office/drawing/2014/main" id="{00000000-0008-0000-0500-00003E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19" name="CustomShape 1" hidden="1">
          <a:extLst>
            <a:ext uri="{FF2B5EF4-FFF2-40B4-BE49-F238E27FC236}">
              <a16:creationId xmlns:a16="http://schemas.microsoft.com/office/drawing/2014/main" id="{00000000-0008-0000-0500-00003F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20" name="CustomShape 1" hidden="1">
          <a:extLst>
            <a:ext uri="{FF2B5EF4-FFF2-40B4-BE49-F238E27FC236}">
              <a16:creationId xmlns:a16="http://schemas.microsoft.com/office/drawing/2014/main" id="{00000000-0008-0000-0500-000040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21" name="CustomShape 1" hidden="1">
          <a:extLst>
            <a:ext uri="{FF2B5EF4-FFF2-40B4-BE49-F238E27FC236}">
              <a16:creationId xmlns:a16="http://schemas.microsoft.com/office/drawing/2014/main" id="{00000000-0008-0000-0500-000041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22" name="CustomShape 1" hidden="1">
          <a:extLst>
            <a:ext uri="{FF2B5EF4-FFF2-40B4-BE49-F238E27FC236}">
              <a16:creationId xmlns:a16="http://schemas.microsoft.com/office/drawing/2014/main" id="{00000000-0008-0000-0500-000042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23" name="CustomShape 1" hidden="1">
          <a:extLst>
            <a:ext uri="{FF2B5EF4-FFF2-40B4-BE49-F238E27FC236}">
              <a16:creationId xmlns:a16="http://schemas.microsoft.com/office/drawing/2014/main" id="{00000000-0008-0000-0500-000043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24" name="CustomShape 1" hidden="1">
          <a:extLst>
            <a:ext uri="{FF2B5EF4-FFF2-40B4-BE49-F238E27FC236}">
              <a16:creationId xmlns:a16="http://schemas.microsoft.com/office/drawing/2014/main" id="{00000000-0008-0000-0500-000044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25" name="CustomShape 1" hidden="1">
          <a:extLst>
            <a:ext uri="{FF2B5EF4-FFF2-40B4-BE49-F238E27FC236}">
              <a16:creationId xmlns:a16="http://schemas.microsoft.com/office/drawing/2014/main" id="{00000000-0008-0000-0500-000045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26" name="CustomShape 1" hidden="1">
          <a:extLst>
            <a:ext uri="{FF2B5EF4-FFF2-40B4-BE49-F238E27FC236}">
              <a16:creationId xmlns:a16="http://schemas.microsoft.com/office/drawing/2014/main" id="{00000000-0008-0000-0500-000046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27" name="CustomShape 1" hidden="1">
          <a:extLst>
            <a:ext uri="{FF2B5EF4-FFF2-40B4-BE49-F238E27FC236}">
              <a16:creationId xmlns:a16="http://schemas.microsoft.com/office/drawing/2014/main" id="{00000000-0008-0000-0500-000047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28" name="CustomShape 1" hidden="1">
          <a:extLst>
            <a:ext uri="{FF2B5EF4-FFF2-40B4-BE49-F238E27FC236}">
              <a16:creationId xmlns:a16="http://schemas.microsoft.com/office/drawing/2014/main" id="{00000000-0008-0000-0500-000048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29" name="CustomShape 1" hidden="1">
          <a:extLst>
            <a:ext uri="{FF2B5EF4-FFF2-40B4-BE49-F238E27FC236}">
              <a16:creationId xmlns:a16="http://schemas.microsoft.com/office/drawing/2014/main" id="{00000000-0008-0000-0500-000049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30" name="CustomShape 1" hidden="1">
          <a:extLst>
            <a:ext uri="{FF2B5EF4-FFF2-40B4-BE49-F238E27FC236}">
              <a16:creationId xmlns:a16="http://schemas.microsoft.com/office/drawing/2014/main" id="{00000000-0008-0000-0500-00004A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31" name="CustomShape 1" hidden="1">
          <a:extLst>
            <a:ext uri="{FF2B5EF4-FFF2-40B4-BE49-F238E27FC236}">
              <a16:creationId xmlns:a16="http://schemas.microsoft.com/office/drawing/2014/main" id="{00000000-0008-0000-0500-00004B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32" name="CustomShape 1" hidden="1">
          <a:extLst>
            <a:ext uri="{FF2B5EF4-FFF2-40B4-BE49-F238E27FC236}">
              <a16:creationId xmlns:a16="http://schemas.microsoft.com/office/drawing/2014/main" id="{00000000-0008-0000-0500-00004C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33" name="CustomShape 1" hidden="1">
          <a:extLst>
            <a:ext uri="{FF2B5EF4-FFF2-40B4-BE49-F238E27FC236}">
              <a16:creationId xmlns:a16="http://schemas.microsoft.com/office/drawing/2014/main" id="{00000000-0008-0000-0500-00004D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34" name="CustomShape 1" hidden="1">
          <a:extLst>
            <a:ext uri="{FF2B5EF4-FFF2-40B4-BE49-F238E27FC236}">
              <a16:creationId xmlns:a16="http://schemas.microsoft.com/office/drawing/2014/main" id="{00000000-0008-0000-0500-00004E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35" name="CustomShape 1" hidden="1">
          <a:extLst>
            <a:ext uri="{FF2B5EF4-FFF2-40B4-BE49-F238E27FC236}">
              <a16:creationId xmlns:a16="http://schemas.microsoft.com/office/drawing/2014/main" id="{00000000-0008-0000-0500-00004F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36" name="CustomShape 1" hidden="1">
          <a:extLst>
            <a:ext uri="{FF2B5EF4-FFF2-40B4-BE49-F238E27FC236}">
              <a16:creationId xmlns:a16="http://schemas.microsoft.com/office/drawing/2014/main" id="{00000000-0008-0000-0500-000050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37" name="CustomShape 1" hidden="1">
          <a:extLst>
            <a:ext uri="{FF2B5EF4-FFF2-40B4-BE49-F238E27FC236}">
              <a16:creationId xmlns:a16="http://schemas.microsoft.com/office/drawing/2014/main" id="{00000000-0008-0000-0500-000051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38" name="CustomShape 1" hidden="1">
          <a:extLst>
            <a:ext uri="{FF2B5EF4-FFF2-40B4-BE49-F238E27FC236}">
              <a16:creationId xmlns:a16="http://schemas.microsoft.com/office/drawing/2014/main" id="{00000000-0008-0000-0500-000052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39" name="CustomShape 1" hidden="1">
          <a:extLst>
            <a:ext uri="{FF2B5EF4-FFF2-40B4-BE49-F238E27FC236}">
              <a16:creationId xmlns:a16="http://schemas.microsoft.com/office/drawing/2014/main" id="{00000000-0008-0000-0500-000053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40" name="CustomShape 1" hidden="1">
          <a:extLst>
            <a:ext uri="{FF2B5EF4-FFF2-40B4-BE49-F238E27FC236}">
              <a16:creationId xmlns:a16="http://schemas.microsoft.com/office/drawing/2014/main" id="{00000000-0008-0000-0500-000054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41" name="CustomShape 1" hidden="1">
          <a:extLst>
            <a:ext uri="{FF2B5EF4-FFF2-40B4-BE49-F238E27FC236}">
              <a16:creationId xmlns:a16="http://schemas.microsoft.com/office/drawing/2014/main" id="{00000000-0008-0000-0500-000055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42" name="CustomShape 1" hidden="1">
          <a:extLst>
            <a:ext uri="{FF2B5EF4-FFF2-40B4-BE49-F238E27FC236}">
              <a16:creationId xmlns:a16="http://schemas.microsoft.com/office/drawing/2014/main" id="{00000000-0008-0000-0500-000056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43" name="CustomShape 1" hidden="1">
          <a:extLst>
            <a:ext uri="{FF2B5EF4-FFF2-40B4-BE49-F238E27FC236}">
              <a16:creationId xmlns:a16="http://schemas.microsoft.com/office/drawing/2014/main" id="{00000000-0008-0000-0500-000057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44" name="CustomShape 1" hidden="1">
          <a:extLst>
            <a:ext uri="{FF2B5EF4-FFF2-40B4-BE49-F238E27FC236}">
              <a16:creationId xmlns:a16="http://schemas.microsoft.com/office/drawing/2014/main" id="{00000000-0008-0000-0500-000058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45" name="CustomShape 1" hidden="1">
          <a:extLst>
            <a:ext uri="{FF2B5EF4-FFF2-40B4-BE49-F238E27FC236}">
              <a16:creationId xmlns:a16="http://schemas.microsoft.com/office/drawing/2014/main" id="{00000000-0008-0000-0500-000059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46" name="CustomShape 1" hidden="1">
          <a:extLst>
            <a:ext uri="{FF2B5EF4-FFF2-40B4-BE49-F238E27FC236}">
              <a16:creationId xmlns:a16="http://schemas.microsoft.com/office/drawing/2014/main" id="{00000000-0008-0000-0500-00005A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47" name="CustomShape 1" hidden="1">
          <a:extLst>
            <a:ext uri="{FF2B5EF4-FFF2-40B4-BE49-F238E27FC236}">
              <a16:creationId xmlns:a16="http://schemas.microsoft.com/office/drawing/2014/main" id="{00000000-0008-0000-0500-00005B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48" name="CustomShape 1" hidden="1">
          <a:extLst>
            <a:ext uri="{FF2B5EF4-FFF2-40B4-BE49-F238E27FC236}">
              <a16:creationId xmlns:a16="http://schemas.microsoft.com/office/drawing/2014/main" id="{00000000-0008-0000-0500-00005C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49" name="CustomShape 1" hidden="1">
          <a:extLst>
            <a:ext uri="{FF2B5EF4-FFF2-40B4-BE49-F238E27FC236}">
              <a16:creationId xmlns:a16="http://schemas.microsoft.com/office/drawing/2014/main" id="{00000000-0008-0000-0500-00005D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50" name="CustomShape 1" hidden="1">
          <a:extLst>
            <a:ext uri="{FF2B5EF4-FFF2-40B4-BE49-F238E27FC236}">
              <a16:creationId xmlns:a16="http://schemas.microsoft.com/office/drawing/2014/main" id="{00000000-0008-0000-0500-00005E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51" name="CustomShape 1" hidden="1">
          <a:extLst>
            <a:ext uri="{FF2B5EF4-FFF2-40B4-BE49-F238E27FC236}">
              <a16:creationId xmlns:a16="http://schemas.microsoft.com/office/drawing/2014/main" id="{00000000-0008-0000-0500-00005F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52" name="CustomShape 1" hidden="1">
          <a:extLst>
            <a:ext uri="{FF2B5EF4-FFF2-40B4-BE49-F238E27FC236}">
              <a16:creationId xmlns:a16="http://schemas.microsoft.com/office/drawing/2014/main" id="{00000000-0008-0000-0500-000060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53" name="CustomShape 1" hidden="1">
          <a:extLst>
            <a:ext uri="{FF2B5EF4-FFF2-40B4-BE49-F238E27FC236}">
              <a16:creationId xmlns:a16="http://schemas.microsoft.com/office/drawing/2014/main" id="{00000000-0008-0000-0500-000061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54" name="CustomShape 1" hidden="1">
          <a:extLst>
            <a:ext uri="{FF2B5EF4-FFF2-40B4-BE49-F238E27FC236}">
              <a16:creationId xmlns:a16="http://schemas.microsoft.com/office/drawing/2014/main" id="{00000000-0008-0000-0500-000062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55" name="CustomShape 1" hidden="1">
          <a:extLst>
            <a:ext uri="{FF2B5EF4-FFF2-40B4-BE49-F238E27FC236}">
              <a16:creationId xmlns:a16="http://schemas.microsoft.com/office/drawing/2014/main" id="{00000000-0008-0000-0500-000063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56" name="CustomShape 1" hidden="1">
          <a:extLst>
            <a:ext uri="{FF2B5EF4-FFF2-40B4-BE49-F238E27FC236}">
              <a16:creationId xmlns:a16="http://schemas.microsoft.com/office/drawing/2014/main" id="{00000000-0008-0000-0500-000064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9</xdr:col>
      <xdr:colOff>337680</xdr:colOff>
      <xdr:row>36</xdr:row>
      <xdr:rowOff>67680</xdr:rowOff>
    </xdr:to>
    <xdr:sp macro="" textlink="">
      <xdr:nvSpPr>
        <xdr:cNvPr id="357" name="CustomShape 1" hidden="1">
          <a:extLst>
            <a:ext uri="{FF2B5EF4-FFF2-40B4-BE49-F238E27FC236}">
              <a16:creationId xmlns:a16="http://schemas.microsoft.com/office/drawing/2014/main" id="{00000000-0008-0000-0500-000065010000}"/>
            </a:ext>
          </a:extLst>
        </xdr:cNvPr>
        <xdr:cNvSpPr/>
      </xdr:nvSpPr>
      <xdr:spPr>
        <a:xfrm>
          <a:off x="0" y="0"/>
          <a:ext cx="8764200" cy="7631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8:N42"/>
  <sheetViews>
    <sheetView tabSelected="1" topLeftCell="F1" zoomScale="90" zoomScaleNormal="90" workbookViewId="0">
      <selection activeCell="F1" sqref="A1:XFD1048576"/>
    </sheetView>
  </sheetViews>
  <sheetFormatPr defaultColWidth="8.4609375" defaultRowHeight="15.5"/>
  <cols>
    <col min="4" max="4" width="4" style="1" customWidth="1"/>
    <col min="5" max="5" width="8" style="1" hidden="1" customWidth="1"/>
    <col min="6" max="6" width="17.69140625" style="1" customWidth="1"/>
    <col min="7" max="7" width="24.23046875" style="1" customWidth="1"/>
    <col min="8" max="8" width="38.23046875" style="1" customWidth="1"/>
    <col min="9" max="9" width="53.07421875" style="3" customWidth="1"/>
    <col min="12" max="12" width="10.23046875" style="1" customWidth="1"/>
    <col min="13" max="13" width="57.3828125" style="1" customWidth="1"/>
    <col min="14" max="14" width="20.69140625" style="1" customWidth="1"/>
  </cols>
  <sheetData>
    <row r="8" spans="7:8">
      <c r="G8" s="1" t="s">
        <v>0</v>
      </c>
    </row>
    <row r="9" spans="7:8" ht="15.65" customHeight="1">
      <c r="G9" s="1" t="s">
        <v>1</v>
      </c>
      <c r="H9" s="60" t="s">
        <v>2</v>
      </c>
    </row>
    <row r="10" spans="7:8" ht="32.65" customHeight="1">
      <c r="H10" s="60"/>
    </row>
    <row r="11" spans="7:8" ht="40.25" customHeight="1">
      <c r="H11" s="60"/>
    </row>
    <row r="12" spans="7:8">
      <c r="H12" s="60"/>
    </row>
    <row r="13" spans="7:8">
      <c r="H13" s="60"/>
    </row>
    <row r="14" spans="7:8">
      <c r="H14" s="60"/>
    </row>
    <row r="15" spans="7:8">
      <c r="H15" s="60"/>
    </row>
    <row r="16" spans="7:8">
      <c r="H16" s="60"/>
    </row>
    <row r="17" spans="7:8" ht="15.65" customHeight="1">
      <c r="G17" s="1" t="s">
        <v>3</v>
      </c>
      <c r="H17" s="60" t="s">
        <v>4</v>
      </c>
    </row>
    <row r="18" spans="7:8">
      <c r="H18" s="60"/>
    </row>
    <row r="19" spans="7:8">
      <c r="H19" s="60"/>
    </row>
    <row r="20" spans="7:8" ht="15.65" customHeight="1">
      <c r="G20" s="1" t="s">
        <v>5</v>
      </c>
      <c r="H20" s="60" t="s">
        <v>6</v>
      </c>
    </row>
    <row r="21" spans="7:8">
      <c r="H21" s="60"/>
    </row>
    <row r="22" spans="7:8">
      <c r="H22" s="60"/>
    </row>
    <row r="23" spans="7:8">
      <c r="H23" s="60"/>
    </row>
    <row r="24" spans="7:8">
      <c r="H24" s="60"/>
    </row>
    <row r="25" spans="7:8" ht="15.65" customHeight="1">
      <c r="G25" s="1" t="s">
        <v>7</v>
      </c>
      <c r="H25" s="61" t="s">
        <v>8</v>
      </c>
    </row>
    <row r="26" spans="7:8">
      <c r="H26" s="61"/>
    </row>
    <row r="27" spans="7:8">
      <c r="H27" s="61"/>
    </row>
    <row r="28" spans="7:8">
      <c r="G28" s="1" t="s">
        <v>9</v>
      </c>
      <c r="H28" s="61"/>
    </row>
    <row r="29" spans="7:8">
      <c r="H29" s="4"/>
    </row>
    <row r="30" spans="7:8" ht="31">
      <c r="G30" s="5" t="s">
        <v>10</v>
      </c>
      <c r="H30" s="6" t="s">
        <v>11</v>
      </c>
    </row>
    <row r="31" spans="7:8" ht="42" customHeight="1">
      <c r="G31" s="5" t="s">
        <v>12</v>
      </c>
      <c r="H31" s="62" t="s">
        <v>13</v>
      </c>
    </row>
    <row r="32" spans="7:8" ht="46.5" customHeight="1">
      <c r="G32" s="5"/>
      <c r="H32" s="62"/>
    </row>
    <row r="33" spans="7:11" ht="62.25" customHeight="1">
      <c r="G33" s="5" t="s">
        <v>14</v>
      </c>
      <c r="H33" s="57" t="s">
        <v>15</v>
      </c>
    </row>
    <row r="34" spans="7:11" ht="65.25" customHeight="1">
      <c r="G34" s="1" t="s">
        <v>16</v>
      </c>
      <c r="H34" s="57"/>
      <c r="I34" s="7"/>
    </row>
    <row r="35" spans="7:11" ht="39" customHeight="1">
      <c r="G35" s="1" t="s">
        <v>17</v>
      </c>
      <c r="H35" s="8"/>
      <c r="I35" s="7"/>
    </row>
    <row r="36" spans="7:11" ht="16.5" customHeight="1">
      <c r="G36" s="1" t="s">
        <v>18</v>
      </c>
      <c r="H36" s="9" t="s">
        <v>19</v>
      </c>
      <c r="I36" s="10"/>
      <c r="K36" s="2"/>
    </row>
    <row r="37" spans="7:11">
      <c r="G37" s="1" t="s">
        <v>20</v>
      </c>
      <c r="H37" s="11" t="s">
        <v>21</v>
      </c>
      <c r="I37" s="10"/>
      <c r="K37" s="2"/>
    </row>
    <row r="38" spans="7:11">
      <c r="G38" s="1" t="s">
        <v>22</v>
      </c>
      <c r="H38" s="9" t="s">
        <v>23</v>
      </c>
      <c r="I38" s="10"/>
      <c r="K38" s="2"/>
    </row>
    <row r="39" spans="7:11">
      <c r="G39" s="1" t="s">
        <v>24</v>
      </c>
      <c r="H39" s="9" t="s">
        <v>23</v>
      </c>
      <c r="I39" s="10"/>
      <c r="K39" s="2"/>
    </row>
    <row r="40" spans="7:11">
      <c r="G40" s="1" t="s">
        <v>25</v>
      </c>
      <c r="H40" s="58"/>
      <c r="I40" s="59"/>
      <c r="K40" s="12"/>
    </row>
    <row r="41" spans="7:11">
      <c r="H41" s="58"/>
      <c r="I41" s="59"/>
    </row>
    <row r="42" spans="7:11">
      <c r="H42" s="58"/>
      <c r="I42" s="59"/>
    </row>
  </sheetData>
  <mergeCells count="8">
    <mergeCell ref="H33:H34"/>
    <mergeCell ref="H40:H42"/>
    <mergeCell ref="I40:I42"/>
    <mergeCell ref="H9:H16"/>
    <mergeCell ref="H17:H19"/>
    <mergeCell ref="H20:H24"/>
    <mergeCell ref="H25:H28"/>
    <mergeCell ref="H31:H32"/>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297"/>
  <sheetViews>
    <sheetView zoomScale="90" zoomScaleNormal="90" workbookViewId="0">
      <pane ySplit="1" topLeftCell="A2" activePane="bottomLeft" state="frozen"/>
      <selection activeCell="T1" sqref="T1"/>
      <selection pane="bottomLeft" activeCell="C13" sqref="C13"/>
    </sheetView>
  </sheetViews>
  <sheetFormatPr defaultColWidth="8.4609375" defaultRowHeight="15.5" outlineLevelRow="1"/>
  <cols>
    <col min="1" max="1" width="8.921875" style="1" customWidth="1"/>
    <col min="4" max="4" width="18.61328125" style="1" customWidth="1"/>
  </cols>
  <sheetData>
    <row r="1" spans="1:36" s="19" customFormat="1" ht="36.75" customHeight="1">
      <c r="A1" s="15" t="s">
        <v>36</v>
      </c>
      <c r="B1" s="16"/>
      <c r="C1" s="16"/>
      <c r="D1" s="17"/>
      <c r="E1" s="18">
        <v>31</v>
      </c>
      <c r="F1" s="18">
        <f t="shared" ref="F1:AJ1" si="0">E1-1</f>
        <v>30</v>
      </c>
      <c r="G1" s="18">
        <f t="shared" si="0"/>
        <v>29</v>
      </c>
      <c r="H1" s="18">
        <f t="shared" si="0"/>
        <v>28</v>
      </c>
      <c r="I1" s="18">
        <f t="shared" si="0"/>
        <v>27</v>
      </c>
      <c r="J1" s="18">
        <f t="shared" si="0"/>
        <v>26</v>
      </c>
      <c r="K1" s="18">
        <f t="shared" si="0"/>
        <v>25</v>
      </c>
      <c r="L1" s="18">
        <f t="shared" si="0"/>
        <v>24</v>
      </c>
      <c r="M1" s="18">
        <f t="shared" si="0"/>
        <v>23</v>
      </c>
      <c r="N1" s="18">
        <f t="shared" si="0"/>
        <v>22</v>
      </c>
      <c r="O1" s="18">
        <f t="shared" si="0"/>
        <v>21</v>
      </c>
      <c r="P1" s="18">
        <f t="shared" si="0"/>
        <v>20</v>
      </c>
      <c r="Q1" s="18">
        <f t="shared" si="0"/>
        <v>19</v>
      </c>
      <c r="R1" s="18">
        <f t="shared" si="0"/>
        <v>18</v>
      </c>
      <c r="S1" s="18">
        <f t="shared" si="0"/>
        <v>17</v>
      </c>
      <c r="T1" s="18">
        <f t="shared" si="0"/>
        <v>16</v>
      </c>
      <c r="U1" s="18">
        <f t="shared" si="0"/>
        <v>15</v>
      </c>
      <c r="V1" s="18">
        <f t="shared" si="0"/>
        <v>14</v>
      </c>
      <c r="W1" s="18">
        <f t="shared" si="0"/>
        <v>13</v>
      </c>
      <c r="X1" s="18">
        <f t="shared" si="0"/>
        <v>12</v>
      </c>
      <c r="Y1" s="18">
        <f t="shared" si="0"/>
        <v>11</v>
      </c>
      <c r="Z1" s="18">
        <f t="shared" si="0"/>
        <v>10</v>
      </c>
      <c r="AA1" s="18">
        <f t="shared" si="0"/>
        <v>9</v>
      </c>
      <c r="AB1" s="18">
        <f t="shared" si="0"/>
        <v>8</v>
      </c>
      <c r="AC1" s="18">
        <f t="shared" si="0"/>
        <v>7</v>
      </c>
      <c r="AD1" s="18">
        <f t="shared" si="0"/>
        <v>6</v>
      </c>
      <c r="AE1" s="18">
        <f t="shared" si="0"/>
        <v>5</v>
      </c>
      <c r="AF1" s="18">
        <f t="shared" si="0"/>
        <v>4</v>
      </c>
      <c r="AG1" s="18">
        <f t="shared" si="0"/>
        <v>3</v>
      </c>
      <c r="AH1" s="18">
        <f t="shared" si="0"/>
        <v>2</v>
      </c>
      <c r="AI1" s="18">
        <f t="shared" si="0"/>
        <v>1</v>
      </c>
      <c r="AJ1" s="18">
        <f t="shared" si="0"/>
        <v>0</v>
      </c>
    </row>
    <row r="2" spans="1:36">
      <c r="A2" s="20"/>
      <c r="B2" s="20"/>
      <c r="C2" s="19"/>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row>
    <row r="3" spans="1:36">
      <c r="A3" s="19"/>
      <c r="B3" s="19"/>
      <c r="C3" s="19"/>
      <c r="D3" s="21"/>
      <c r="E3" s="64" t="s">
        <v>37</v>
      </c>
      <c r="F3" s="64"/>
      <c r="G3" s="64"/>
      <c r="H3" s="64"/>
      <c r="I3" s="64"/>
      <c r="J3" s="64"/>
      <c r="K3" s="64"/>
      <c r="L3" s="64"/>
      <c r="M3" s="64" t="s">
        <v>38</v>
      </c>
      <c r="N3" s="64"/>
      <c r="O3" s="64"/>
      <c r="P3" s="64"/>
      <c r="Q3" s="64"/>
      <c r="R3" s="64"/>
      <c r="S3" s="64"/>
      <c r="T3" s="64"/>
      <c r="U3" s="64" t="s">
        <v>39</v>
      </c>
      <c r="V3" s="64"/>
      <c r="W3" s="64"/>
      <c r="X3" s="64"/>
      <c r="Y3" s="64"/>
      <c r="Z3" s="64"/>
      <c r="AA3" s="64"/>
      <c r="AB3" s="64"/>
      <c r="AC3" s="64" t="s">
        <v>40</v>
      </c>
      <c r="AD3" s="64"/>
      <c r="AE3" s="64"/>
      <c r="AF3" s="64"/>
      <c r="AG3" s="64"/>
      <c r="AH3" s="64"/>
      <c r="AI3" s="64"/>
      <c r="AJ3" s="64"/>
    </row>
    <row r="4" spans="1:36">
      <c r="A4" s="19"/>
      <c r="B4" s="16"/>
      <c r="C4" s="16"/>
      <c r="D4" s="17"/>
      <c r="E4" s="18">
        <v>31</v>
      </c>
      <c r="F4" s="18">
        <f t="shared" ref="F4:AJ4" si="1">E4-1</f>
        <v>30</v>
      </c>
      <c r="G4" s="18">
        <f t="shared" si="1"/>
        <v>29</v>
      </c>
      <c r="H4" s="18">
        <f t="shared" si="1"/>
        <v>28</v>
      </c>
      <c r="I4" s="18">
        <f t="shared" si="1"/>
        <v>27</v>
      </c>
      <c r="J4" s="18">
        <f t="shared" si="1"/>
        <v>26</v>
      </c>
      <c r="K4" s="18">
        <f t="shared" si="1"/>
        <v>25</v>
      </c>
      <c r="L4" s="18">
        <f t="shared" si="1"/>
        <v>24</v>
      </c>
      <c r="M4" s="18">
        <f t="shared" si="1"/>
        <v>23</v>
      </c>
      <c r="N4" s="18">
        <f t="shared" si="1"/>
        <v>22</v>
      </c>
      <c r="O4" s="18">
        <f t="shared" si="1"/>
        <v>21</v>
      </c>
      <c r="P4" s="18">
        <f t="shared" si="1"/>
        <v>20</v>
      </c>
      <c r="Q4" s="18">
        <f t="shared" si="1"/>
        <v>19</v>
      </c>
      <c r="R4" s="18">
        <f t="shared" si="1"/>
        <v>18</v>
      </c>
      <c r="S4" s="18">
        <f t="shared" si="1"/>
        <v>17</v>
      </c>
      <c r="T4" s="18">
        <f t="shared" si="1"/>
        <v>16</v>
      </c>
      <c r="U4" s="18">
        <f t="shared" si="1"/>
        <v>15</v>
      </c>
      <c r="V4" s="18">
        <f t="shared" si="1"/>
        <v>14</v>
      </c>
      <c r="W4" s="18">
        <f t="shared" si="1"/>
        <v>13</v>
      </c>
      <c r="X4" s="18">
        <f t="shared" si="1"/>
        <v>12</v>
      </c>
      <c r="Y4" s="18">
        <f t="shared" si="1"/>
        <v>11</v>
      </c>
      <c r="Z4" s="18">
        <f t="shared" si="1"/>
        <v>10</v>
      </c>
      <c r="AA4" s="18">
        <f t="shared" si="1"/>
        <v>9</v>
      </c>
      <c r="AB4" s="18">
        <f t="shared" si="1"/>
        <v>8</v>
      </c>
      <c r="AC4" s="18">
        <f t="shared" si="1"/>
        <v>7</v>
      </c>
      <c r="AD4" s="18">
        <f t="shared" si="1"/>
        <v>6</v>
      </c>
      <c r="AE4" s="18">
        <f t="shared" si="1"/>
        <v>5</v>
      </c>
      <c r="AF4" s="18">
        <f t="shared" si="1"/>
        <v>4</v>
      </c>
      <c r="AG4" s="18">
        <f t="shared" si="1"/>
        <v>3</v>
      </c>
      <c r="AH4" s="18">
        <f t="shared" si="1"/>
        <v>2</v>
      </c>
      <c r="AI4" s="18">
        <f t="shared" si="1"/>
        <v>1</v>
      </c>
      <c r="AJ4" s="18">
        <f t="shared" si="1"/>
        <v>0</v>
      </c>
    </row>
    <row r="5" spans="1:36" ht="34.5" customHeight="1">
      <c r="A5" s="19"/>
      <c r="B5" s="22" t="s">
        <v>41</v>
      </c>
      <c r="C5" s="22" t="s">
        <v>42</v>
      </c>
      <c r="D5" s="22" t="s">
        <v>28</v>
      </c>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row>
    <row r="6" spans="1:36" ht="15.75" customHeight="1" outlineLevel="1">
      <c r="A6" s="91" t="s">
        <v>43</v>
      </c>
      <c r="B6" s="64">
        <v>100000</v>
      </c>
      <c r="C6" s="24" t="str">
        <f>DEC2HEX(HEX2DEC($B$6)*16)</f>
        <v>1000000</v>
      </c>
      <c r="D6" s="25" t="s">
        <v>44</v>
      </c>
      <c r="E6" s="92" t="s">
        <v>45</v>
      </c>
      <c r="F6" s="92"/>
      <c r="G6" s="92"/>
      <c r="H6" s="92"/>
      <c r="I6" s="92"/>
      <c r="J6" s="92"/>
      <c r="K6" s="92"/>
      <c r="L6" s="92"/>
      <c r="M6" s="92"/>
      <c r="N6" s="92"/>
      <c r="O6" s="92"/>
      <c r="P6" s="92"/>
      <c r="Q6" s="92"/>
      <c r="R6" s="92"/>
      <c r="S6" s="92"/>
      <c r="T6" s="92"/>
      <c r="U6" s="93" t="s">
        <v>46</v>
      </c>
      <c r="V6" s="93"/>
      <c r="W6" s="81" t="s">
        <v>47</v>
      </c>
      <c r="X6" s="81"/>
      <c r="Y6" s="26"/>
      <c r="Z6" s="26"/>
      <c r="AA6" s="90"/>
      <c r="AB6" s="90"/>
      <c r="AC6" s="27"/>
      <c r="AD6" s="94" t="s">
        <v>48</v>
      </c>
      <c r="AE6" s="94"/>
      <c r="AF6" s="94"/>
      <c r="AG6" s="27"/>
      <c r="AH6" s="28"/>
      <c r="AI6" s="90"/>
      <c r="AJ6" s="90"/>
    </row>
    <row r="7" spans="1:36" outlineLevel="1">
      <c r="A7" s="91"/>
      <c r="B7" s="64"/>
      <c r="C7" s="29" t="str">
        <f t="shared" ref="C7:C53" si="2">DEC2HEX(HEX2DEC(C6) + 4)</f>
        <v>1000004</v>
      </c>
      <c r="D7" s="29" t="s">
        <v>49</v>
      </c>
      <c r="E7" s="26"/>
      <c r="F7" s="26"/>
      <c r="G7" s="26"/>
      <c r="H7" s="26"/>
      <c r="I7" s="26"/>
      <c r="J7" s="26"/>
      <c r="K7" s="26"/>
      <c r="L7" s="26"/>
      <c r="M7" s="26"/>
      <c r="N7" s="26"/>
      <c r="O7" s="26"/>
      <c r="P7" s="26"/>
      <c r="Q7" s="26"/>
      <c r="R7" s="26"/>
      <c r="S7" s="95"/>
      <c r="T7" s="95"/>
      <c r="U7" s="81" t="s">
        <v>50</v>
      </c>
      <c r="V7" s="81"/>
      <c r="W7" s="81" t="s">
        <v>51</v>
      </c>
      <c r="X7" s="81"/>
      <c r="Y7" s="81" t="s">
        <v>52</v>
      </c>
      <c r="Z7" s="81"/>
      <c r="AA7" s="95"/>
      <c r="AB7" s="95"/>
      <c r="AC7" s="90"/>
      <c r="AD7" s="90"/>
      <c r="AE7" s="90"/>
      <c r="AF7" s="96" t="s">
        <v>53</v>
      </c>
      <c r="AG7" s="96"/>
      <c r="AH7" s="96"/>
      <c r="AI7" s="96"/>
      <c r="AJ7" s="96"/>
    </row>
    <row r="8" spans="1:36" outlineLevel="1">
      <c r="A8" s="91"/>
      <c r="B8" s="64"/>
      <c r="C8" s="29" t="str">
        <f t="shared" si="2"/>
        <v>1000008</v>
      </c>
      <c r="D8" s="18" t="s">
        <v>54</v>
      </c>
      <c r="E8" s="26"/>
      <c r="F8" s="26"/>
      <c r="G8" s="26"/>
      <c r="H8" s="26"/>
      <c r="I8" s="26"/>
      <c r="J8" s="26"/>
      <c r="K8" s="26"/>
      <c r="L8" s="26"/>
      <c r="M8" s="81" t="s">
        <v>55</v>
      </c>
      <c r="N8" s="81"/>
      <c r="O8" s="81"/>
      <c r="P8" s="81"/>
      <c r="Q8" s="81"/>
      <c r="R8" s="81"/>
      <c r="S8" s="81"/>
      <c r="T8" s="81"/>
      <c r="U8" s="90"/>
      <c r="V8" s="90"/>
      <c r="W8" s="90"/>
      <c r="X8" s="90"/>
      <c r="Y8" s="90"/>
      <c r="Z8" s="90"/>
      <c r="AA8" s="90"/>
      <c r="AB8" s="90"/>
      <c r="AC8" s="90"/>
      <c r="AD8" s="90"/>
      <c r="AE8" s="90"/>
      <c r="AF8" s="90"/>
      <c r="AG8" s="90"/>
      <c r="AH8" s="90"/>
      <c r="AI8" s="90"/>
      <c r="AJ8" s="90"/>
    </row>
    <row r="9" spans="1:36" outlineLevel="1">
      <c r="A9" s="91"/>
      <c r="B9" s="64"/>
      <c r="C9" s="30" t="str">
        <f t="shared" si="2"/>
        <v>100000C</v>
      </c>
      <c r="D9" s="18" t="s">
        <v>56</v>
      </c>
      <c r="E9" s="97"/>
      <c r="F9" s="97"/>
      <c r="G9" s="97"/>
      <c r="H9" s="97"/>
      <c r="I9" s="97"/>
      <c r="J9" s="97"/>
      <c r="K9" s="97"/>
      <c r="L9" s="97"/>
      <c r="M9" s="97"/>
      <c r="N9" s="97"/>
      <c r="O9" s="97"/>
      <c r="P9" s="97"/>
      <c r="Q9" s="97"/>
      <c r="R9" s="97"/>
      <c r="S9" s="97"/>
      <c r="T9" s="97"/>
      <c r="U9" s="98" t="s">
        <v>57</v>
      </c>
      <c r="V9" s="98"/>
      <c r="W9" s="98"/>
      <c r="X9" s="98"/>
      <c r="Y9" s="98"/>
      <c r="Z9" s="98"/>
      <c r="AA9" s="98"/>
      <c r="AB9" s="98"/>
      <c r="AC9" s="98"/>
      <c r="AD9" s="98"/>
      <c r="AE9" s="98"/>
      <c r="AF9" s="98"/>
      <c r="AG9" s="98"/>
      <c r="AH9" s="98"/>
      <c r="AI9" s="98"/>
      <c r="AJ9" s="98"/>
    </row>
    <row r="10" spans="1:36" outlineLevel="1">
      <c r="A10" s="91"/>
      <c r="B10" s="64">
        <f>B6+1</f>
        <v>100001</v>
      </c>
      <c r="C10" s="23" t="str">
        <f t="shared" si="2"/>
        <v>1000010</v>
      </c>
      <c r="D10" s="25" t="s">
        <v>58</v>
      </c>
      <c r="E10" s="82" t="s">
        <v>59</v>
      </c>
      <c r="F10" s="82"/>
      <c r="G10" s="82"/>
      <c r="H10" s="82"/>
      <c r="I10" s="80" t="s">
        <v>60</v>
      </c>
      <c r="J10" s="80"/>
      <c r="K10" s="80"/>
      <c r="L10" s="80"/>
      <c r="M10" s="81" t="s">
        <v>61</v>
      </c>
      <c r="N10" s="81"/>
      <c r="O10" s="81"/>
      <c r="P10" s="81"/>
      <c r="Q10" s="81"/>
      <c r="R10" s="81"/>
      <c r="S10" s="81"/>
      <c r="T10" s="81"/>
      <c r="U10" s="80" t="s">
        <v>62</v>
      </c>
      <c r="V10" s="80"/>
      <c r="W10" s="80"/>
      <c r="X10" s="80"/>
      <c r="Y10" s="80" t="s">
        <v>63</v>
      </c>
      <c r="Z10" s="80"/>
      <c r="AA10" s="80"/>
      <c r="AB10" s="80"/>
      <c r="AC10" s="81" t="s">
        <v>64</v>
      </c>
      <c r="AD10" s="81"/>
      <c r="AE10" s="81"/>
      <c r="AF10" s="81"/>
      <c r="AG10" s="81"/>
      <c r="AH10" s="81"/>
      <c r="AI10" s="81"/>
      <c r="AJ10" s="81"/>
    </row>
    <row r="11" spans="1:36" outlineLevel="1">
      <c r="A11" s="91"/>
      <c r="B11" s="64"/>
      <c r="C11" s="29" t="str">
        <f t="shared" si="2"/>
        <v>1000014</v>
      </c>
      <c r="D11" s="29" t="s">
        <v>65</v>
      </c>
      <c r="E11" s="31"/>
      <c r="F11" s="31"/>
      <c r="G11" s="31"/>
      <c r="H11" s="31"/>
      <c r="I11" s="80" t="s">
        <v>66</v>
      </c>
      <c r="J11" s="80"/>
      <c r="K11" s="80"/>
      <c r="L11" s="80"/>
      <c r="M11" s="81" t="s">
        <v>67</v>
      </c>
      <c r="N11" s="81"/>
      <c r="O11" s="81"/>
      <c r="P11" s="81"/>
      <c r="Q11" s="81"/>
      <c r="R11" s="81"/>
      <c r="S11" s="81"/>
      <c r="T11" s="81"/>
      <c r="U11" s="80" t="s">
        <v>68</v>
      </c>
      <c r="V11" s="80"/>
      <c r="W11" s="80"/>
      <c r="X11" s="80"/>
      <c r="Y11" s="80" t="s">
        <v>69</v>
      </c>
      <c r="Z11" s="80"/>
      <c r="AA11" s="80"/>
      <c r="AB11" s="80"/>
      <c r="AC11" s="81" t="s">
        <v>70</v>
      </c>
      <c r="AD11" s="81"/>
      <c r="AE11" s="81"/>
      <c r="AF11" s="81"/>
      <c r="AG11" s="81"/>
      <c r="AH11" s="81"/>
      <c r="AI11" s="81"/>
      <c r="AJ11" s="81"/>
    </row>
    <row r="12" spans="1:36" outlineLevel="1">
      <c r="A12" s="91"/>
      <c r="B12" s="64"/>
      <c r="C12" s="29" t="str">
        <f t="shared" si="2"/>
        <v>1000018</v>
      </c>
      <c r="D12" s="29" t="s">
        <v>59</v>
      </c>
      <c r="E12" s="88"/>
      <c r="F12" s="88"/>
      <c r="G12" s="88"/>
      <c r="H12" s="88"/>
      <c r="I12" s="89"/>
      <c r="J12" s="89"/>
      <c r="K12" s="89"/>
      <c r="L12" s="89"/>
      <c r="M12" s="90"/>
      <c r="N12" s="90"/>
      <c r="O12" s="90"/>
      <c r="P12" s="90"/>
      <c r="Q12" s="90"/>
      <c r="R12" s="90"/>
      <c r="S12" s="90"/>
      <c r="T12" s="90"/>
      <c r="U12" s="89"/>
      <c r="V12" s="89"/>
      <c r="W12" s="89"/>
      <c r="X12" s="89"/>
      <c r="Y12" s="89"/>
      <c r="Z12" s="89"/>
      <c r="AA12" s="89"/>
      <c r="AB12" s="89"/>
      <c r="AC12" s="90"/>
      <c r="AD12" s="90"/>
      <c r="AE12" s="90"/>
      <c r="AF12" s="90"/>
      <c r="AG12" s="90"/>
      <c r="AH12" s="90"/>
      <c r="AI12" s="90"/>
      <c r="AJ12" s="90"/>
    </row>
    <row r="13" spans="1:36" outlineLevel="1">
      <c r="A13" s="91"/>
      <c r="B13" s="64"/>
      <c r="C13" s="30" t="str">
        <f t="shared" si="2"/>
        <v>100001C</v>
      </c>
      <c r="D13" s="30" t="s">
        <v>71</v>
      </c>
      <c r="E13" s="32"/>
      <c r="F13" s="32"/>
      <c r="G13" s="32"/>
      <c r="H13" s="32"/>
      <c r="I13" s="80" t="s">
        <v>72</v>
      </c>
      <c r="J13" s="80"/>
      <c r="K13" s="80"/>
      <c r="L13" s="80"/>
      <c r="M13" s="81" t="s">
        <v>73</v>
      </c>
      <c r="N13" s="81"/>
      <c r="O13" s="81"/>
      <c r="P13" s="81"/>
      <c r="Q13" s="81"/>
      <c r="R13" s="81"/>
      <c r="S13" s="81"/>
      <c r="T13" s="81"/>
      <c r="U13" s="80" t="s">
        <v>74</v>
      </c>
      <c r="V13" s="80"/>
      <c r="W13" s="80"/>
      <c r="X13" s="80"/>
      <c r="Y13" s="80" t="s">
        <v>75</v>
      </c>
      <c r="Z13" s="80"/>
      <c r="AA13" s="80"/>
      <c r="AB13" s="80"/>
      <c r="AC13" s="81" t="s">
        <v>76</v>
      </c>
      <c r="AD13" s="81"/>
      <c r="AE13" s="81"/>
      <c r="AF13" s="81"/>
      <c r="AG13" s="81"/>
      <c r="AH13" s="81"/>
      <c r="AI13" s="81"/>
      <c r="AJ13" s="81"/>
    </row>
    <row r="14" spans="1:36" outlineLevel="1">
      <c r="A14" s="91"/>
      <c r="B14" s="64">
        <f>B10+1</f>
        <v>100002</v>
      </c>
      <c r="C14" s="30" t="str">
        <f t="shared" si="2"/>
        <v>1000020</v>
      </c>
      <c r="D14" s="23" t="s">
        <v>77</v>
      </c>
      <c r="E14" s="33"/>
      <c r="F14" s="33"/>
      <c r="G14" s="79" t="s">
        <v>78</v>
      </c>
      <c r="H14" s="79"/>
      <c r="I14" s="80" t="s">
        <v>79</v>
      </c>
      <c r="J14" s="80"/>
      <c r="K14" s="80"/>
      <c r="L14" s="80"/>
      <c r="M14" s="81" t="s">
        <v>80</v>
      </c>
      <c r="N14" s="81"/>
      <c r="O14" s="81"/>
      <c r="P14" s="81"/>
      <c r="Q14" s="81"/>
      <c r="R14" s="81"/>
      <c r="S14" s="81"/>
      <c r="T14" s="81"/>
      <c r="U14" s="34"/>
      <c r="V14" s="34"/>
      <c r="W14" s="34"/>
      <c r="X14" s="34"/>
      <c r="Y14" s="80" t="s">
        <v>81</v>
      </c>
      <c r="Z14" s="80"/>
      <c r="AA14" s="80"/>
      <c r="AB14" s="80"/>
      <c r="AC14" s="81" t="s">
        <v>82</v>
      </c>
      <c r="AD14" s="81"/>
      <c r="AE14" s="81"/>
      <c r="AF14" s="81"/>
      <c r="AG14" s="81"/>
      <c r="AH14" s="81"/>
      <c r="AI14" s="81"/>
      <c r="AJ14" s="81"/>
    </row>
    <row r="15" spans="1:36" outlineLevel="1">
      <c r="A15" s="91"/>
      <c r="B15" s="64"/>
      <c r="C15" s="30" t="str">
        <f t="shared" si="2"/>
        <v>1000024</v>
      </c>
      <c r="D15" s="29" t="s">
        <v>83</v>
      </c>
      <c r="E15" s="82" t="s">
        <v>84</v>
      </c>
      <c r="F15" s="82"/>
      <c r="G15" s="82"/>
      <c r="H15" s="82"/>
      <c r="I15" s="82"/>
      <c r="J15" s="82"/>
      <c r="K15" s="82"/>
      <c r="L15" s="82"/>
      <c r="M15" s="82"/>
      <c r="N15" s="82"/>
      <c r="O15" s="82"/>
      <c r="P15" s="82"/>
      <c r="Q15" s="82"/>
      <c r="R15" s="82"/>
      <c r="S15" s="82"/>
      <c r="T15" s="82"/>
      <c r="U15" s="83" t="s">
        <v>85</v>
      </c>
      <c r="V15" s="83"/>
      <c r="W15" s="83"/>
      <c r="X15" s="83"/>
      <c r="Y15" s="83"/>
      <c r="Z15" s="83"/>
      <c r="AA15" s="83"/>
      <c r="AB15" s="83"/>
      <c r="AC15" s="83"/>
      <c r="AD15" s="83"/>
      <c r="AE15" s="83"/>
      <c r="AF15" s="83"/>
      <c r="AG15" s="83"/>
      <c r="AH15" s="83"/>
      <c r="AI15" s="83"/>
      <c r="AJ15" s="83"/>
    </row>
    <row r="16" spans="1:36" outlineLevel="1">
      <c r="A16" s="91"/>
      <c r="B16" s="64"/>
      <c r="C16" s="30" t="str">
        <f t="shared" si="2"/>
        <v>1000028</v>
      </c>
      <c r="D16" s="29" t="s">
        <v>86</v>
      </c>
      <c r="E16" s="35"/>
      <c r="F16" s="35"/>
      <c r="G16" s="35"/>
      <c r="H16" s="35"/>
      <c r="I16" s="35"/>
      <c r="J16" s="35"/>
      <c r="K16" s="35"/>
      <c r="L16" s="35"/>
      <c r="M16" s="35"/>
      <c r="N16" s="35"/>
      <c r="O16" s="35"/>
      <c r="P16" s="35"/>
      <c r="Q16" s="36"/>
      <c r="R16" s="84"/>
      <c r="S16" s="84"/>
      <c r="T16" s="84"/>
      <c r="U16" s="37"/>
      <c r="V16" s="37"/>
      <c r="W16" s="37"/>
      <c r="X16" s="37"/>
      <c r="Y16" s="80" t="s">
        <v>87</v>
      </c>
      <c r="Z16" s="80"/>
      <c r="AA16" s="80"/>
      <c r="AB16" s="80"/>
      <c r="AC16" s="81" t="s">
        <v>88</v>
      </c>
      <c r="AD16" s="81"/>
      <c r="AE16" s="81"/>
      <c r="AF16" s="81"/>
      <c r="AG16" s="81"/>
      <c r="AH16" s="81"/>
      <c r="AI16" s="81"/>
      <c r="AJ16" s="81"/>
    </row>
    <row r="17" spans="1:36" outlineLevel="1">
      <c r="A17" s="91"/>
      <c r="B17" s="64"/>
      <c r="C17" s="30" t="str">
        <f t="shared" si="2"/>
        <v>100002C</v>
      </c>
      <c r="D17" s="30" t="s">
        <v>89</v>
      </c>
      <c r="E17" s="85" t="s">
        <v>90</v>
      </c>
      <c r="F17" s="85"/>
      <c r="G17" s="85" t="s">
        <v>91</v>
      </c>
      <c r="H17" s="85"/>
      <c r="I17" s="85" t="s">
        <v>92</v>
      </c>
      <c r="J17" s="85"/>
      <c r="K17" s="86"/>
      <c r="L17" s="86"/>
      <c r="M17" s="85" t="s">
        <v>93</v>
      </c>
      <c r="N17" s="85"/>
      <c r="O17" s="35"/>
      <c r="P17" s="35"/>
      <c r="Q17" s="35"/>
      <c r="R17" s="35"/>
      <c r="S17" s="35"/>
      <c r="T17" s="35"/>
      <c r="U17" s="35"/>
      <c r="V17" s="35"/>
      <c r="W17" s="35"/>
      <c r="X17" s="35"/>
      <c r="Y17" s="35"/>
      <c r="Z17" s="35"/>
      <c r="AA17" s="35"/>
      <c r="AB17" s="35"/>
      <c r="AC17" s="87" t="s">
        <v>94</v>
      </c>
      <c r="AD17" s="87"/>
      <c r="AE17" s="87"/>
      <c r="AF17" s="87"/>
      <c r="AG17" s="87"/>
      <c r="AH17" s="87"/>
      <c r="AI17" s="87"/>
      <c r="AJ17" s="87"/>
    </row>
    <row r="18" spans="1:36" outlineLevel="1">
      <c r="A18" s="91"/>
      <c r="B18" s="64">
        <f>B14+1</f>
        <v>100003</v>
      </c>
      <c r="C18" s="30" t="str">
        <f t="shared" si="2"/>
        <v>1000030</v>
      </c>
      <c r="D18" s="38" t="s">
        <v>59</v>
      </c>
      <c r="E18" s="76"/>
      <c r="F18" s="76"/>
      <c r="G18" s="76"/>
      <c r="H18" s="76"/>
      <c r="I18" s="76"/>
      <c r="J18" s="76"/>
      <c r="K18" s="76"/>
      <c r="L18" s="76"/>
      <c r="M18" s="76"/>
      <c r="N18" s="76"/>
      <c r="O18" s="76"/>
      <c r="P18" s="76"/>
      <c r="Q18" s="76"/>
      <c r="R18" s="76"/>
      <c r="S18" s="76"/>
      <c r="T18" s="76"/>
      <c r="U18" s="39"/>
      <c r="V18" s="39"/>
      <c r="W18" s="39"/>
      <c r="X18" s="39"/>
      <c r="Y18" s="39"/>
      <c r="Z18" s="40"/>
      <c r="AA18" s="40"/>
      <c r="AB18" s="40"/>
      <c r="AC18" s="40"/>
      <c r="AD18" s="40"/>
      <c r="AE18" s="40"/>
      <c r="AF18" s="39"/>
      <c r="AG18" s="40"/>
      <c r="AH18" s="40"/>
      <c r="AI18" s="40"/>
      <c r="AJ18" s="40"/>
    </row>
    <row r="19" spans="1:36" outlineLevel="1">
      <c r="A19" s="91"/>
      <c r="B19" s="64"/>
      <c r="C19" s="30" t="str">
        <f t="shared" si="2"/>
        <v>1000034</v>
      </c>
      <c r="D19" s="38" t="s">
        <v>59</v>
      </c>
      <c r="E19" s="76"/>
      <c r="F19" s="76"/>
      <c r="G19" s="76"/>
      <c r="H19" s="76"/>
      <c r="I19" s="76"/>
      <c r="J19" s="76"/>
      <c r="K19" s="76"/>
      <c r="L19" s="76"/>
      <c r="M19" s="76"/>
      <c r="N19" s="76"/>
      <c r="O19" s="76"/>
      <c r="P19" s="76"/>
      <c r="Q19" s="76"/>
      <c r="R19" s="76"/>
      <c r="S19" s="76"/>
      <c r="T19" s="76"/>
      <c r="U19" s="39"/>
      <c r="V19" s="39"/>
      <c r="W19" s="39"/>
      <c r="X19" s="39"/>
      <c r="Y19" s="39"/>
      <c r="Z19" s="40"/>
      <c r="AA19" s="40"/>
      <c r="AB19" s="40"/>
      <c r="AC19" s="40"/>
      <c r="AD19" s="40"/>
      <c r="AE19" s="40"/>
      <c r="AF19" s="39"/>
      <c r="AG19" s="40"/>
      <c r="AH19" s="40"/>
      <c r="AI19" s="40"/>
      <c r="AJ19" s="40"/>
    </row>
    <row r="20" spans="1:36" outlineLevel="1">
      <c r="A20" s="91"/>
      <c r="B20" s="64"/>
      <c r="C20" s="30" t="str">
        <f t="shared" si="2"/>
        <v>1000038</v>
      </c>
      <c r="D20" s="41" t="s">
        <v>59</v>
      </c>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row>
    <row r="21" spans="1:36" ht="17.5" outlineLevel="1">
      <c r="A21" s="91"/>
      <c r="B21" s="64"/>
      <c r="C21" s="30" t="str">
        <f t="shared" si="2"/>
        <v>100003C</v>
      </c>
      <c r="D21" s="38" t="s">
        <v>59</v>
      </c>
      <c r="E21" s="78"/>
      <c r="F21" s="78"/>
      <c r="G21" s="78"/>
      <c r="H21" s="78"/>
      <c r="I21" s="78"/>
      <c r="J21" s="78"/>
      <c r="K21" s="78"/>
      <c r="L21" s="78"/>
      <c r="M21" s="78"/>
      <c r="N21" s="78"/>
      <c r="O21" s="78"/>
      <c r="P21" s="78"/>
      <c r="Q21" s="78"/>
      <c r="R21" s="78"/>
      <c r="S21" s="78"/>
      <c r="T21" s="78"/>
      <c r="U21" s="78"/>
      <c r="V21" s="78"/>
      <c r="W21" s="78"/>
      <c r="X21" s="78"/>
      <c r="Y21" s="78"/>
      <c r="Z21" s="78"/>
      <c r="AA21" s="78"/>
      <c r="AB21" s="78"/>
      <c r="AC21" s="78"/>
      <c r="AD21" s="78"/>
      <c r="AE21" s="78"/>
      <c r="AF21" s="78"/>
      <c r="AG21" s="78"/>
      <c r="AH21" s="78"/>
      <c r="AI21" s="78"/>
      <c r="AJ21" s="78"/>
    </row>
    <row r="22" spans="1:36" ht="30.75" customHeight="1" outlineLevel="1">
      <c r="A22" s="91"/>
      <c r="B22" s="64">
        <f>B18+1</f>
        <v>100004</v>
      </c>
      <c r="C22" s="30" t="str">
        <f t="shared" si="2"/>
        <v>1000040</v>
      </c>
      <c r="D22" s="18" t="s">
        <v>95</v>
      </c>
      <c r="E22" s="42"/>
      <c r="F22" s="75" t="s">
        <v>96</v>
      </c>
      <c r="G22" s="75"/>
      <c r="H22" s="75"/>
      <c r="I22" s="43"/>
      <c r="J22" s="75" t="s">
        <v>97</v>
      </c>
      <c r="K22" s="75"/>
      <c r="L22" s="75"/>
      <c r="M22" s="43"/>
      <c r="N22" s="75" t="s">
        <v>98</v>
      </c>
      <c r="O22" s="75"/>
      <c r="P22" s="75"/>
      <c r="Q22" s="43"/>
      <c r="R22" s="75" t="s">
        <v>99</v>
      </c>
      <c r="S22" s="75"/>
      <c r="T22" s="75"/>
      <c r="U22" s="43"/>
      <c r="V22" s="75" t="s">
        <v>100</v>
      </c>
      <c r="W22" s="75"/>
      <c r="X22" s="75"/>
      <c r="Y22" s="42"/>
      <c r="Z22" s="75" t="s">
        <v>101</v>
      </c>
      <c r="AA22" s="75"/>
      <c r="AB22" s="75"/>
      <c r="AC22" s="42"/>
      <c r="AD22" s="75" t="s">
        <v>102</v>
      </c>
      <c r="AE22" s="75"/>
      <c r="AF22" s="75"/>
      <c r="AG22" s="44"/>
      <c r="AH22" s="75" t="s">
        <v>103</v>
      </c>
      <c r="AI22" s="75"/>
      <c r="AJ22" s="75"/>
    </row>
    <row r="23" spans="1:36" ht="30" customHeight="1" outlineLevel="1">
      <c r="A23" s="91"/>
      <c r="B23" s="64"/>
      <c r="C23" s="30" t="str">
        <f t="shared" si="2"/>
        <v>1000044</v>
      </c>
      <c r="D23" s="18" t="s">
        <v>104</v>
      </c>
      <c r="E23" s="45"/>
      <c r="F23" s="72" t="s">
        <v>105</v>
      </c>
      <c r="G23" s="72"/>
      <c r="H23" s="72"/>
      <c r="I23" s="46"/>
      <c r="J23" s="72" t="s">
        <v>106</v>
      </c>
      <c r="K23" s="72"/>
      <c r="L23" s="72"/>
      <c r="M23" s="46"/>
      <c r="N23" s="72" t="s">
        <v>107</v>
      </c>
      <c r="O23" s="72"/>
      <c r="P23" s="72"/>
      <c r="Q23" s="46"/>
      <c r="R23" s="72" t="s">
        <v>108</v>
      </c>
      <c r="S23" s="72"/>
      <c r="T23" s="72"/>
      <c r="U23" s="46"/>
      <c r="V23" s="72" t="s">
        <v>109</v>
      </c>
      <c r="W23" s="72"/>
      <c r="X23" s="72"/>
      <c r="Y23" s="47"/>
      <c r="Z23" s="72" t="s">
        <v>110</v>
      </c>
      <c r="AA23" s="72"/>
      <c r="AB23" s="72"/>
      <c r="AC23" s="47"/>
      <c r="AD23" s="72" t="s">
        <v>111</v>
      </c>
      <c r="AE23" s="72"/>
      <c r="AF23" s="72"/>
      <c r="AG23" s="48"/>
      <c r="AH23" s="72" t="s">
        <v>112</v>
      </c>
      <c r="AI23" s="72"/>
      <c r="AJ23" s="72"/>
    </row>
    <row r="24" spans="1:36" outlineLevel="1">
      <c r="A24" s="91"/>
      <c r="B24" s="64"/>
      <c r="C24" s="30" t="str">
        <f t="shared" si="2"/>
        <v>1000048</v>
      </c>
      <c r="D24" s="18" t="s">
        <v>113</v>
      </c>
      <c r="E24" s="45"/>
      <c r="F24" s="75" t="s">
        <v>114</v>
      </c>
      <c r="G24" s="75"/>
      <c r="H24" s="75"/>
      <c r="I24" s="46"/>
      <c r="J24" s="75" t="s">
        <v>115</v>
      </c>
      <c r="K24" s="75"/>
      <c r="L24" s="75"/>
      <c r="M24" s="46"/>
      <c r="N24" s="75" t="s">
        <v>116</v>
      </c>
      <c r="O24" s="75"/>
      <c r="P24" s="75"/>
      <c r="Q24" s="46"/>
      <c r="R24" s="75" t="s">
        <v>117</v>
      </c>
      <c r="S24" s="75"/>
      <c r="T24" s="75"/>
      <c r="U24" s="46"/>
      <c r="V24" s="75" t="s">
        <v>118</v>
      </c>
      <c r="W24" s="75"/>
      <c r="X24" s="75"/>
      <c r="Y24" s="47"/>
      <c r="Z24" s="75" t="s">
        <v>119</v>
      </c>
      <c r="AA24" s="75"/>
      <c r="AB24" s="75"/>
      <c r="AC24" s="47"/>
      <c r="AD24" s="75" t="s">
        <v>120</v>
      </c>
      <c r="AE24" s="75"/>
      <c r="AF24" s="75"/>
      <c r="AG24" s="48"/>
      <c r="AH24" s="75" t="s">
        <v>121</v>
      </c>
      <c r="AI24" s="75"/>
      <c r="AJ24" s="75"/>
    </row>
    <row r="25" spans="1:36" outlineLevel="1">
      <c r="A25" s="91"/>
      <c r="B25" s="64"/>
      <c r="C25" s="30" t="str">
        <f t="shared" si="2"/>
        <v>100004C</v>
      </c>
      <c r="D25" s="18" t="s">
        <v>122</v>
      </c>
      <c r="E25" s="45"/>
      <c r="F25" s="72" t="s">
        <v>123</v>
      </c>
      <c r="G25" s="72"/>
      <c r="H25" s="72"/>
      <c r="I25" s="46"/>
      <c r="J25" s="72" t="s">
        <v>124</v>
      </c>
      <c r="K25" s="72"/>
      <c r="L25" s="72"/>
      <c r="M25" s="46"/>
      <c r="N25" s="72" t="s">
        <v>125</v>
      </c>
      <c r="O25" s="72"/>
      <c r="P25" s="72"/>
      <c r="Q25" s="46"/>
      <c r="R25" s="72" t="s">
        <v>126</v>
      </c>
      <c r="S25" s="72"/>
      <c r="T25" s="72"/>
      <c r="U25" s="46"/>
      <c r="V25" s="72" t="s">
        <v>127</v>
      </c>
      <c r="W25" s="72"/>
      <c r="X25" s="72"/>
      <c r="Y25" s="47"/>
      <c r="Z25" s="72" t="s">
        <v>128</v>
      </c>
      <c r="AA25" s="72"/>
      <c r="AB25" s="72"/>
      <c r="AC25" s="47"/>
      <c r="AD25" s="72" t="s">
        <v>129</v>
      </c>
      <c r="AE25" s="72"/>
      <c r="AF25" s="72"/>
      <c r="AG25" s="48"/>
      <c r="AH25" s="72" t="s">
        <v>130</v>
      </c>
      <c r="AI25" s="72"/>
      <c r="AJ25" s="72"/>
    </row>
    <row r="26" spans="1:36" ht="15.75" customHeight="1" outlineLevel="1">
      <c r="A26" s="91"/>
      <c r="B26" s="64">
        <f>B22+1</f>
        <v>100005</v>
      </c>
      <c r="C26" s="30" t="str">
        <f t="shared" si="2"/>
        <v>1000050</v>
      </c>
      <c r="D26" s="18" t="s">
        <v>131</v>
      </c>
      <c r="E26" s="45"/>
      <c r="F26" s="75" t="s">
        <v>132</v>
      </c>
      <c r="G26" s="75"/>
      <c r="H26" s="75"/>
      <c r="I26" s="46"/>
      <c r="J26" s="75" t="s">
        <v>133</v>
      </c>
      <c r="K26" s="75"/>
      <c r="L26" s="75"/>
      <c r="M26" s="46"/>
      <c r="N26" s="75" t="s">
        <v>134</v>
      </c>
      <c r="O26" s="75"/>
      <c r="P26" s="75"/>
      <c r="Q26" s="46"/>
      <c r="R26" s="75" t="s">
        <v>135</v>
      </c>
      <c r="S26" s="75"/>
      <c r="T26" s="75"/>
      <c r="U26" s="46"/>
      <c r="V26" s="75" t="s">
        <v>136</v>
      </c>
      <c r="W26" s="75"/>
      <c r="X26" s="75"/>
      <c r="Y26" s="47"/>
      <c r="Z26" s="75" t="s">
        <v>137</v>
      </c>
      <c r="AA26" s="75"/>
      <c r="AB26" s="75"/>
      <c r="AC26" s="47"/>
      <c r="AD26" s="75" t="s">
        <v>138</v>
      </c>
      <c r="AE26" s="75"/>
      <c r="AF26" s="75"/>
      <c r="AG26" s="48"/>
      <c r="AH26" s="75" t="s">
        <v>139</v>
      </c>
      <c r="AI26" s="75"/>
      <c r="AJ26" s="75"/>
    </row>
    <row r="27" spans="1:36" ht="15.75" customHeight="1" outlineLevel="1">
      <c r="A27" s="91"/>
      <c r="B27" s="64"/>
      <c r="C27" s="30" t="str">
        <f t="shared" si="2"/>
        <v>1000054</v>
      </c>
      <c r="D27" s="18" t="s">
        <v>140</v>
      </c>
      <c r="E27" s="45"/>
      <c r="F27" s="72" t="s">
        <v>141</v>
      </c>
      <c r="G27" s="72"/>
      <c r="H27" s="72"/>
      <c r="I27" s="46"/>
      <c r="J27" s="72" t="s">
        <v>142</v>
      </c>
      <c r="K27" s="72"/>
      <c r="L27" s="72"/>
      <c r="M27" s="46"/>
      <c r="N27" s="72" t="s">
        <v>143</v>
      </c>
      <c r="O27" s="72"/>
      <c r="P27" s="72"/>
      <c r="Q27" s="46"/>
      <c r="R27" s="72" t="s">
        <v>144</v>
      </c>
      <c r="S27" s="72"/>
      <c r="T27" s="72"/>
      <c r="U27" s="46"/>
      <c r="V27" s="72" t="s">
        <v>145</v>
      </c>
      <c r="W27" s="72"/>
      <c r="X27" s="72"/>
      <c r="Y27" s="47"/>
      <c r="Z27" s="72" t="s">
        <v>146</v>
      </c>
      <c r="AA27" s="72"/>
      <c r="AB27" s="72"/>
      <c r="AC27" s="47"/>
      <c r="AD27" s="72" t="s">
        <v>147</v>
      </c>
      <c r="AE27" s="72"/>
      <c r="AF27" s="72"/>
      <c r="AG27" s="48"/>
      <c r="AH27" s="72" t="s">
        <v>148</v>
      </c>
      <c r="AI27" s="72"/>
      <c r="AJ27" s="72"/>
    </row>
    <row r="28" spans="1:36" ht="15.75" customHeight="1" outlineLevel="1">
      <c r="A28" s="91"/>
      <c r="B28" s="64"/>
      <c r="C28" s="30" t="str">
        <f t="shared" si="2"/>
        <v>1000058</v>
      </c>
      <c r="D28" s="18" t="s">
        <v>149</v>
      </c>
      <c r="E28" s="45"/>
      <c r="F28" s="75" t="s">
        <v>150</v>
      </c>
      <c r="G28" s="75"/>
      <c r="H28" s="75"/>
      <c r="I28" s="46"/>
      <c r="J28" s="75" t="s">
        <v>151</v>
      </c>
      <c r="K28" s="75"/>
      <c r="L28" s="75"/>
      <c r="M28" s="46"/>
      <c r="N28" s="75" t="s">
        <v>152</v>
      </c>
      <c r="O28" s="75"/>
      <c r="P28" s="75"/>
      <c r="Q28" s="46"/>
      <c r="R28" s="75" t="s">
        <v>153</v>
      </c>
      <c r="S28" s="75"/>
      <c r="T28" s="75"/>
      <c r="U28" s="46"/>
      <c r="V28" s="75" t="s">
        <v>154</v>
      </c>
      <c r="W28" s="75"/>
      <c r="X28" s="75"/>
      <c r="Y28" s="47"/>
      <c r="Z28" s="75" t="s">
        <v>155</v>
      </c>
      <c r="AA28" s="75"/>
      <c r="AB28" s="75"/>
      <c r="AC28" s="47"/>
      <c r="AD28" s="75" t="s">
        <v>156</v>
      </c>
      <c r="AE28" s="75"/>
      <c r="AF28" s="75"/>
      <c r="AG28" s="48"/>
      <c r="AH28" s="75" t="s">
        <v>157</v>
      </c>
      <c r="AI28" s="75"/>
      <c r="AJ28" s="75"/>
    </row>
    <row r="29" spans="1:36" ht="15.75" customHeight="1" outlineLevel="1">
      <c r="A29" s="91"/>
      <c r="B29" s="64"/>
      <c r="C29" s="30" t="str">
        <f t="shared" si="2"/>
        <v>100005C</v>
      </c>
      <c r="D29" s="18" t="s">
        <v>158</v>
      </c>
      <c r="E29" s="45"/>
      <c r="F29" s="72" t="s">
        <v>159</v>
      </c>
      <c r="G29" s="72"/>
      <c r="H29" s="72"/>
      <c r="I29" s="46"/>
      <c r="J29" s="72" t="s">
        <v>160</v>
      </c>
      <c r="K29" s="72"/>
      <c r="L29" s="72"/>
      <c r="M29" s="46"/>
      <c r="N29" s="72" t="s">
        <v>161</v>
      </c>
      <c r="O29" s="72"/>
      <c r="P29" s="72"/>
      <c r="Q29" s="46"/>
      <c r="R29" s="72" t="s">
        <v>162</v>
      </c>
      <c r="S29" s="72"/>
      <c r="T29" s="72"/>
      <c r="U29" s="46"/>
      <c r="V29" s="72" t="s">
        <v>163</v>
      </c>
      <c r="W29" s="72"/>
      <c r="X29" s="72"/>
      <c r="Y29" s="47"/>
      <c r="Z29" s="72" t="s">
        <v>164</v>
      </c>
      <c r="AA29" s="72"/>
      <c r="AB29" s="72"/>
      <c r="AC29" s="47"/>
      <c r="AD29" s="72" t="s">
        <v>165</v>
      </c>
      <c r="AE29" s="72"/>
      <c r="AF29" s="72"/>
      <c r="AG29" s="48"/>
      <c r="AH29" s="72" t="s">
        <v>166</v>
      </c>
      <c r="AI29" s="72"/>
      <c r="AJ29" s="72"/>
    </row>
    <row r="30" spans="1:36" ht="15.75" customHeight="1" outlineLevel="1">
      <c r="A30" s="91"/>
      <c r="B30" s="64">
        <f>B26+1</f>
        <v>100006</v>
      </c>
      <c r="C30" s="30" t="str">
        <f t="shared" si="2"/>
        <v>1000060</v>
      </c>
      <c r="D30" s="25" t="s">
        <v>167</v>
      </c>
      <c r="E30" s="72" t="s">
        <v>168</v>
      </c>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row>
    <row r="31" spans="1:36" ht="15.75" customHeight="1" outlineLevel="1">
      <c r="A31" s="91"/>
      <c r="B31" s="64"/>
      <c r="C31" s="30" t="str">
        <f t="shared" si="2"/>
        <v>1000064</v>
      </c>
      <c r="D31" s="29" t="s">
        <v>169</v>
      </c>
      <c r="E31" s="73" t="s">
        <v>170</v>
      </c>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row>
    <row r="32" spans="1:36" ht="15.75" customHeight="1" outlineLevel="1">
      <c r="A32" s="91"/>
      <c r="B32" s="64"/>
      <c r="C32" s="30" t="str">
        <f t="shared" si="2"/>
        <v>1000068</v>
      </c>
      <c r="D32" s="29" t="s">
        <v>171</v>
      </c>
      <c r="E32" s="73" t="s">
        <v>172</v>
      </c>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row>
    <row r="33" spans="1:36" ht="15.75" customHeight="1" outlineLevel="1">
      <c r="A33" s="91"/>
      <c r="B33" s="64"/>
      <c r="C33" s="30" t="str">
        <f t="shared" si="2"/>
        <v>100006C</v>
      </c>
      <c r="D33" s="30" t="s">
        <v>173</v>
      </c>
      <c r="E33" s="73" t="s">
        <v>174</v>
      </c>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73"/>
      <c r="AJ33" s="73"/>
    </row>
    <row r="34" spans="1:36" ht="15.75" customHeight="1" outlineLevel="1">
      <c r="A34" s="91"/>
      <c r="B34" s="64">
        <f>B30+1</f>
        <v>100007</v>
      </c>
      <c r="C34" s="30" t="str">
        <f t="shared" si="2"/>
        <v>1000070</v>
      </c>
      <c r="D34" s="25" t="s">
        <v>175</v>
      </c>
      <c r="E34" s="72" t="s">
        <v>176</v>
      </c>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row>
    <row r="35" spans="1:36" ht="15.75" customHeight="1" outlineLevel="1">
      <c r="A35" s="91"/>
      <c r="B35" s="64"/>
      <c r="C35" s="30" t="str">
        <f t="shared" si="2"/>
        <v>1000074</v>
      </c>
      <c r="D35" s="29" t="s">
        <v>177</v>
      </c>
      <c r="E35" s="73" t="s">
        <v>178</v>
      </c>
      <c r="F35" s="73"/>
      <c r="G35" s="73"/>
      <c r="H35" s="73"/>
      <c r="I35" s="73"/>
      <c r="J35" s="73"/>
      <c r="K35" s="73"/>
      <c r="L35" s="73"/>
      <c r="M35" s="73"/>
      <c r="N35" s="73"/>
      <c r="O35" s="73"/>
      <c r="P35" s="73"/>
      <c r="Q35" s="73"/>
      <c r="R35" s="73"/>
      <c r="S35" s="73"/>
      <c r="T35" s="73"/>
      <c r="U35" s="73"/>
      <c r="V35" s="73"/>
      <c r="W35" s="73"/>
      <c r="X35" s="73"/>
      <c r="Y35" s="73"/>
      <c r="Z35" s="73"/>
      <c r="AA35" s="73"/>
      <c r="AB35" s="73"/>
      <c r="AC35" s="73"/>
      <c r="AD35" s="73"/>
      <c r="AE35" s="73"/>
      <c r="AF35" s="73"/>
      <c r="AG35" s="73"/>
      <c r="AH35" s="73"/>
      <c r="AI35" s="73"/>
      <c r="AJ35" s="73"/>
    </row>
    <row r="36" spans="1:36" ht="15.75" customHeight="1" outlineLevel="1">
      <c r="A36" s="91"/>
      <c r="B36" s="64"/>
      <c r="C36" s="30" t="str">
        <f t="shared" si="2"/>
        <v>1000078</v>
      </c>
      <c r="D36" s="29" t="s">
        <v>179</v>
      </c>
      <c r="E36" s="73" t="s">
        <v>180</v>
      </c>
      <c r="F36" s="73"/>
      <c r="G36" s="73"/>
      <c r="H36" s="73"/>
      <c r="I36" s="73"/>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row>
    <row r="37" spans="1:36" ht="15.75" customHeight="1" outlineLevel="1">
      <c r="A37" s="91"/>
      <c r="B37" s="64"/>
      <c r="C37" s="30" t="str">
        <f t="shared" si="2"/>
        <v>100007C</v>
      </c>
      <c r="D37" s="30" t="s">
        <v>181</v>
      </c>
      <c r="E37" s="73" t="s">
        <v>182</v>
      </c>
      <c r="F37" s="73"/>
      <c r="G37" s="73"/>
      <c r="H37" s="73"/>
      <c r="I37" s="73"/>
      <c r="J37" s="73"/>
      <c r="K37" s="73"/>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row>
    <row r="38" spans="1:36" ht="15.75" customHeight="1" outlineLevel="1">
      <c r="A38" s="91"/>
      <c r="B38" s="64">
        <f>B34+1</f>
        <v>100008</v>
      </c>
      <c r="C38" s="23" t="str">
        <f t="shared" si="2"/>
        <v>1000080</v>
      </c>
      <c r="D38" s="25" t="s">
        <v>183</v>
      </c>
      <c r="E38" s="72" t="s">
        <v>184</v>
      </c>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row>
    <row r="39" spans="1:36" ht="15.75" customHeight="1" outlineLevel="1">
      <c r="A39" s="91"/>
      <c r="B39" s="64"/>
      <c r="C39" s="29" t="str">
        <f t="shared" si="2"/>
        <v>1000084</v>
      </c>
      <c r="D39" s="29" t="s">
        <v>185</v>
      </c>
      <c r="E39" s="73" t="s">
        <v>186</v>
      </c>
      <c r="F39" s="73"/>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row>
    <row r="40" spans="1:36" ht="15.75" customHeight="1" outlineLevel="1">
      <c r="A40" s="91"/>
      <c r="B40" s="64"/>
      <c r="C40" s="29" t="str">
        <f t="shared" si="2"/>
        <v>1000088</v>
      </c>
      <c r="D40" s="49" t="s">
        <v>187</v>
      </c>
      <c r="E40" s="74" t="s">
        <v>187</v>
      </c>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row>
    <row r="41" spans="1:36" ht="15.75" customHeight="1" outlineLevel="1">
      <c r="A41" s="91"/>
      <c r="B41" s="64"/>
      <c r="C41" s="30" t="str">
        <f t="shared" si="2"/>
        <v>100008C</v>
      </c>
      <c r="D41" s="50" t="s">
        <v>187</v>
      </c>
      <c r="E41" s="74" t="s">
        <v>187</v>
      </c>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row>
    <row r="42" spans="1:36" ht="15.75" customHeight="1" outlineLevel="1">
      <c r="A42" s="91"/>
      <c r="B42" s="64">
        <f>B38+1</f>
        <v>100009</v>
      </c>
      <c r="C42" s="30" t="str">
        <f t="shared" si="2"/>
        <v>1000090</v>
      </c>
      <c r="D42" s="18" t="s">
        <v>188</v>
      </c>
      <c r="E42" s="64" t="s">
        <v>188</v>
      </c>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row>
    <row r="43" spans="1:36" ht="15.75" customHeight="1" outlineLevel="1">
      <c r="A43" s="91"/>
      <c r="B43" s="64"/>
      <c r="C43" s="30" t="str">
        <f t="shared" si="2"/>
        <v>1000094</v>
      </c>
      <c r="D43" s="51" t="s">
        <v>59</v>
      </c>
      <c r="E43" s="65"/>
      <c r="F43" s="65"/>
      <c r="G43" s="65"/>
      <c r="H43" s="65"/>
      <c r="I43" s="65"/>
      <c r="J43" s="65"/>
      <c r="K43" s="65"/>
      <c r="L43" s="65"/>
      <c r="M43" s="65"/>
      <c r="N43" s="65"/>
      <c r="O43" s="65"/>
      <c r="P43" s="65"/>
      <c r="Q43" s="65"/>
      <c r="R43" s="65"/>
      <c r="S43" s="65"/>
      <c r="T43" s="65"/>
      <c r="U43" s="65"/>
      <c r="V43" s="65"/>
      <c r="W43" s="65"/>
      <c r="X43" s="65"/>
      <c r="Y43" s="65"/>
      <c r="Z43" s="65"/>
      <c r="AA43" s="65"/>
      <c r="AB43" s="65"/>
      <c r="AC43" s="65"/>
      <c r="AD43" s="65"/>
      <c r="AE43" s="65"/>
      <c r="AF43" s="65"/>
      <c r="AG43" s="65"/>
      <c r="AH43" s="65"/>
      <c r="AI43" s="65"/>
      <c r="AJ43" s="65"/>
    </row>
    <row r="44" spans="1:36" ht="15.75" customHeight="1" outlineLevel="1">
      <c r="A44" s="91"/>
      <c r="B44" s="64"/>
      <c r="C44" s="30" t="str">
        <f t="shared" si="2"/>
        <v>1000098</v>
      </c>
      <c r="D44" s="51" t="s">
        <v>59</v>
      </c>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row>
    <row r="45" spans="1:36" ht="15.75" customHeight="1" outlineLevel="1">
      <c r="A45" s="91"/>
      <c r="B45" s="64"/>
      <c r="C45" s="30" t="str">
        <f t="shared" si="2"/>
        <v>100009C</v>
      </c>
      <c r="D45" s="51" t="s">
        <v>59</v>
      </c>
      <c r="E45" s="65"/>
      <c r="F45" s="65"/>
      <c r="G45" s="65"/>
      <c r="H45" s="65"/>
      <c r="I45" s="65"/>
      <c r="J45" s="65"/>
      <c r="K45" s="65"/>
      <c r="L45" s="65"/>
      <c r="M45" s="65"/>
      <c r="N45" s="65"/>
      <c r="O45" s="65"/>
      <c r="P45" s="65"/>
      <c r="Q45" s="65"/>
      <c r="R45" s="65"/>
      <c r="S45" s="65"/>
      <c r="T45" s="65"/>
      <c r="U45" s="65"/>
      <c r="V45" s="65"/>
      <c r="W45" s="65"/>
      <c r="X45" s="65"/>
      <c r="Y45" s="65"/>
      <c r="Z45" s="65"/>
      <c r="AA45" s="65"/>
      <c r="AB45" s="65"/>
      <c r="AC45" s="65"/>
      <c r="AD45" s="65"/>
      <c r="AE45" s="65"/>
      <c r="AF45" s="65"/>
      <c r="AG45" s="65"/>
      <c r="AH45" s="65"/>
      <c r="AI45" s="65"/>
      <c r="AJ45" s="65"/>
    </row>
    <row r="46" spans="1:36" ht="15.75" customHeight="1" outlineLevel="1">
      <c r="A46" s="91"/>
      <c r="B46" s="64" t="str">
        <f>DEC2HEX(HEX2DEC(B42) + 1)</f>
        <v>10000A</v>
      </c>
      <c r="C46" s="30" t="str">
        <f t="shared" si="2"/>
        <v>10000A0</v>
      </c>
      <c r="D46" s="30" t="s">
        <v>189</v>
      </c>
      <c r="E46" s="64" t="s">
        <v>189</v>
      </c>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row>
    <row r="47" spans="1:36" ht="15.75" customHeight="1" outlineLevel="1">
      <c r="A47" s="91"/>
      <c r="B47" s="64"/>
      <c r="C47" s="30" t="str">
        <f t="shared" si="2"/>
        <v>10000A4</v>
      </c>
      <c r="D47" s="50" t="s">
        <v>59</v>
      </c>
      <c r="E47" s="65"/>
      <c r="F47" s="65"/>
      <c r="G47" s="65"/>
      <c r="H47" s="65"/>
      <c r="I47" s="65"/>
      <c r="J47" s="65"/>
      <c r="K47" s="65"/>
      <c r="L47" s="65"/>
      <c r="M47" s="65"/>
      <c r="N47" s="65"/>
      <c r="O47" s="65"/>
      <c r="P47" s="65"/>
      <c r="Q47" s="65"/>
      <c r="R47" s="65"/>
      <c r="S47" s="65"/>
      <c r="T47" s="65"/>
      <c r="U47" s="65"/>
      <c r="V47" s="65"/>
      <c r="W47" s="65"/>
      <c r="X47" s="65"/>
      <c r="Y47" s="65"/>
      <c r="Z47" s="65"/>
      <c r="AA47" s="65"/>
      <c r="AB47" s="65"/>
      <c r="AC47" s="65"/>
      <c r="AD47" s="65"/>
      <c r="AE47" s="65"/>
      <c r="AF47" s="65"/>
      <c r="AG47" s="65"/>
      <c r="AH47" s="65"/>
      <c r="AI47" s="65"/>
      <c r="AJ47" s="65"/>
    </row>
    <row r="48" spans="1:36" ht="15.75" customHeight="1" outlineLevel="1">
      <c r="A48" s="91"/>
      <c r="B48" s="64"/>
      <c r="C48" s="30" t="str">
        <f t="shared" si="2"/>
        <v>10000A8</v>
      </c>
      <c r="D48" s="50" t="s">
        <v>59</v>
      </c>
      <c r="E48" s="65"/>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c r="AF48" s="65"/>
      <c r="AG48" s="65"/>
      <c r="AH48" s="65"/>
      <c r="AI48" s="65"/>
      <c r="AJ48" s="65"/>
    </row>
    <row r="49" spans="1:36" ht="15.75" customHeight="1" outlineLevel="1">
      <c r="A49" s="91"/>
      <c r="B49" s="64"/>
      <c r="C49" s="30" t="str">
        <f t="shared" si="2"/>
        <v>10000AC</v>
      </c>
      <c r="D49" s="50" t="s">
        <v>59</v>
      </c>
      <c r="E49" s="65"/>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65"/>
      <c r="AF49" s="65"/>
      <c r="AG49" s="65"/>
      <c r="AH49" s="65"/>
      <c r="AI49" s="65"/>
      <c r="AJ49" s="65"/>
    </row>
    <row r="50" spans="1:36" ht="19.5" customHeight="1" outlineLevel="1">
      <c r="A50" s="91"/>
      <c r="B50" s="64" t="str">
        <f>DEC2HEX(HEX2DEC(B46) + 1)</f>
        <v>10000B</v>
      </c>
      <c r="C50" s="30" t="str">
        <f t="shared" si="2"/>
        <v>10000B0</v>
      </c>
      <c r="D50" s="18" t="s">
        <v>190</v>
      </c>
      <c r="E50" s="66" t="s">
        <v>191</v>
      </c>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row>
    <row r="51" spans="1:36" ht="23.25" customHeight="1" outlineLevel="1">
      <c r="A51" s="91"/>
      <c r="B51" s="64"/>
      <c r="C51" s="30" t="str">
        <f t="shared" si="2"/>
        <v>10000B4</v>
      </c>
      <c r="D51" s="51" t="s">
        <v>59</v>
      </c>
      <c r="E51" s="67"/>
      <c r="F51" s="67"/>
      <c r="G51" s="67"/>
      <c r="H51" s="67"/>
      <c r="I51" s="67"/>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row>
    <row r="52" spans="1:36" ht="15.75" customHeight="1" outlineLevel="1">
      <c r="A52" s="91"/>
      <c r="B52" s="64"/>
      <c r="C52" s="30" t="str">
        <f t="shared" si="2"/>
        <v>10000B8</v>
      </c>
      <c r="D52" s="51" t="s">
        <v>59</v>
      </c>
      <c r="E52" s="68"/>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row>
    <row r="53" spans="1:36" ht="15.75" customHeight="1" outlineLevel="1">
      <c r="A53" s="91"/>
      <c r="B53" s="64"/>
      <c r="C53" s="30" t="str">
        <f t="shared" si="2"/>
        <v>10000BC</v>
      </c>
      <c r="D53" s="51" t="s">
        <v>59</v>
      </c>
      <c r="E53" s="52"/>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row>
    <row r="54" spans="1:36" ht="25">
      <c r="A54" s="54" t="s">
        <v>43</v>
      </c>
      <c r="B54" s="55"/>
      <c r="C54" s="55"/>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56"/>
      <c r="AJ54" s="19"/>
    </row>
    <row r="55" spans="1:36" ht="15.75" hidden="1" customHeight="1" outlineLevel="1">
      <c r="A55" s="69"/>
      <c r="B55" s="70" t="s">
        <v>192</v>
      </c>
      <c r="C55" s="70" t="s">
        <v>192</v>
      </c>
      <c r="D55" s="70" t="s">
        <v>35</v>
      </c>
      <c r="E55" s="71" t="s">
        <v>193</v>
      </c>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row>
    <row r="56" spans="1:36" hidden="1" outlineLevel="1">
      <c r="A56" s="69"/>
      <c r="B56" s="70"/>
      <c r="C56" s="70"/>
      <c r="D56" s="70"/>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row>
    <row r="57" spans="1:36" hidden="1" outlineLevel="1">
      <c r="A57" s="69"/>
      <c r="B57" s="70"/>
      <c r="C57" s="70"/>
      <c r="D57" s="70"/>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1"/>
      <c r="AF57" s="71"/>
      <c r="AG57" s="71"/>
      <c r="AH57" s="71"/>
      <c r="AI57" s="71"/>
      <c r="AJ57" s="71"/>
    </row>
    <row r="58" spans="1:36" hidden="1" outlineLevel="1">
      <c r="A58" s="69"/>
      <c r="B58" s="70"/>
      <c r="C58" s="70"/>
      <c r="D58" s="70"/>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c r="AH58" s="71"/>
      <c r="AI58" s="71"/>
      <c r="AJ58" s="71"/>
    </row>
    <row r="59" spans="1:36" ht="25" collapsed="1">
      <c r="A59" s="63" t="s">
        <v>194</v>
      </c>
      <c r="B59" s="63"/>
      <c r="C59" s="63"/>
      <c r="D59" s="63"/>
      <c r="E59" s="63"/>
      <c r="F59" s="63"/>
      <c r="G59" s="6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56"/>
      <c r="AJ59" s="19"/>
    </row>
    <row r="297" ht="12.75" customHeight="1"/>
  </sheetData>
  <mergeCells count="168">
    <mergeCell ref="E3:L3"/>
    <mergeCell ref="M3:T3"/>
    <mergeCell ref="U3:AB3"/>
    <mergeCell ref="AC3:AJ3"/>
    <mergeCell ref="A6:A53"/>
    <mergeCell ref="B6:B9"/>
    <mergeCell ref="E6:T6"/>
    <mergeCell ref="U6:V6"/>
    <mergeCell ref="W6:X6"/>
    <mergeCell ref="AA6:AB6"/>
    <mergeCell ref="AD6:AF6"/>
    <mergeCell ref="AI6:AJ6"/>
    <mergeCell ref="S7:T7"/>
    <mergeCell ref="U7:V7"/>
    <mergeCell ref="W7:X7"/>
    <mergeCell ref="Y7:Z7"/>
    <mergeCell ref="AA7:AB7"/>
    <mergeCell ref="AC7:AE7"/>
    <mergeCell ref="AF7:AJ7"/>
    <mergeCell ref="M8:T8"/>
    <mergeCell ref="U8:AB8"/>
    <mergeCell ref="AC8:AJ8"/>
    <mergeCell ref="E9:T9"/>
    <mergeCell ref="U9:AJ9"/>
    <mergeCell ref="B10:B13"/>
    <mergeCell ref="E10:H10"/>
    <mergeCell ref="I10:L10"/>
    <mergeCell ref="M10:T10"/>
    <mergeCell ref="U10:X10"/>
    <mergeCell ref="Y10:AB10"/>
    <mergeCell ref="AC10:AJ10"/>
    <mergeCell ref="I11:L11"/>
    <mergeCell ref="M11:T11"/>
    <mergeCell ref="U11:X11"/>
    <mergeCell ref="Y11:AB11"/>
    <mergeCell ref="AC11:AJ11"/>
    <mergeCell ref="E12:H12"/>
    <mergeCell ref="I12:L12"/>
    <mergeCell ref="M12:T12"/>
    <mergeCell ref="U12:X12"/>
    <mergeCell ref="Y12:AB12"/>
    <mergeCell ref="AC12:AJ12"/>
    <mergeCell ref="I13:L13"/>
    <mergeCell ref="M13:T13"/>
    <mergeCell ref="U13:X13"/>
    <mergeCell ref="Y13:AB13"/>
    <mergeCell ref="AC13:AJ13"/>
    <mergeCell ref="B14:B17"/>
    <mergeCell ref="G14:H14"/>
    <mergeCell ref="I14:L14"/>
    <mergeCell ref="M14:T14"/>
    <mergeCell ref="Y14:AB14"/>
    <mergeCell ref="AC14:AJ14"/>
    <mergeCell ref="E15:T15"/>
    <mergeCell ref="U15:AJ15"/>
    <mergeCell ref="R16:T16"/>
    <mergeCell ref="Y16:AB16"/>
    <mergeCell ref="AC16:AJ16"/>
    <mergeCell ref="E17:F17"/>
    <mergeCell ref="G17:H17"/>
    <mergeCell ref="I17:J17"/>
    <mergeCell ref="K17:L17"/>
    <mergeCell ref="M17:N17"/>
    <mergeCell ref="AC17:AJ17"/>
    <mergeCell ref="B18:B21"/>
    <mergeCell ref="E18:T18"/>
    <mergeCell ref="E19:T19"/>
    <mergeCell ref="E20:AJ20"/>
    <mergeCell ref="E21:AJ21"/>
    <mergeCell ref="B22:B25"/>
    <mergeCell ref="F22:H22"/>
    <mergeCell ref="J22:L22"/>
    <mergeCell ref="N22:P22"/>
    <mergeCell ref="R22:T22"/>
    <mergeCell ref="V22:X22"/>
    <mergeCell ref="Z22:AB22"/>
    <mergeCell ref="AD22:AF22"/>
    <mergeCell ref="AH22:AJ22"/>
    <mergeCell ref="F23:H23"/>
    <mergeCell ref="J23:L23"/>
    <mergeCell ref="N23:P23"/>
    <mergeCell ref="R23:T23"/>
    <mergeCell ref="V23:X23"/>
    <mergeCell ref="Z23:AB23"/>
    <mergeCell ref="AD23:AF23"/>
    <mergeCell ref="AH23:AJ23"/>
    <mergeCell ref="F24:H24"/>
    <mergeCell ref="J24:L24"/>
    <mergeCell ref="N24:P24"/>
    <mergeCell ref="R24:T24"/>
    <mergeCell ref="V24:X24"/>
    <mergeCell ref="Z24:AB24"/>
    <mergeCell ref="AD24:AF24"/>
    <mergeCell ref="AH24:AJ24"/>
    <mergeCell ref="F25:H25"/>
    <mergeCell ref="J25:L25"/>
    <mergeCell ref="N25:P25"/>
    <mergeCell ref="R25:T25"/>
    <mergeCell ref="V25:X25"/>
    <mergeCell ref="Z25:AB25"/>
    <mergeCell ref="AD25:AF25"/>
    <mergeCell ref="AH25:AJ25"/>
    <mergeCell ref="B26:B29"/>
    <mergeCell ref="F26:H26"/>
    <mergeCell ref="J26:L26"/>
    <mergeCell ref="N26:P26"/>
    <mergeCell ref="R26:T26"/>
    <mergeCell ref="V26:X26"/>
    <mergeCell ref="Z26:AB26"/>
    <mergeCell ref="AD26:AF26"/>
    <mergeCell ref="AH26:AJ26"/>
    <mergeCell ref="F27:H27"/>
    <mergeCell ref="J27:L27"/>
    <mergeCell ref="N27:P27"/>
    <mergeCell ref="R27:T27"/>
    <mergeCell ref="V27:X27"/>
    <mergeCell ref="Z27:AB27"/>
    <mergeCell ref="AD27:AF27"/>
    <mergeCell ref="AH27:AJ27"/>
    <mergeCell ref="F28:H28"/>
    <mergeCell ref="J28:L28"/>
    <mergeCell ref="N28:P28"/>
    <mergeCell ref="R28:T28"/>
    <mergeCell ref="V28:X28"/>
    <mergeCell ref="Z28:AB28"/>
    <mergeCell ref="AD28:AF28"/>
    <mergeCell ref="AH28:AJ28"/>
    <mergeCell ref="F29:H29"/>
    <mergeCell ref="J29:L29"/>
    <mergeCell ref="N29:P29"/>
    <mergeCell ref="R29:T29"/>
    <mergeCell ref="V29:X29"/>
    <mergeCell ref="Z29:AB29"/>
    <mergeCell ref="AD29:AF29"/>
    <mergeCell ref="AH29:AJ29"/>
    <mergeCell ref="B30:B33"/>
    <mergeCell ref="E30:AJ30"/>
    <mergeCell ref="E31:AJ31"/>
    <mergeCell ref="E32:AJ32"/>
    <mergeCell ref="E33:AJ33"/>
    <mergeCell ref="B34:B37"/>
    <mergeCell ref="E34:AJ34"/>
    <mergeCell ref="E35:AJ35"/>
    <mergeCell ref="E36:AJ36"/>
    <mergeCell ref="E37:AJ37"/>
    <mergeCell ref="B38:B41"/>
    <mergeCell ref="E38:AJ38"/>
    <mergeCell ref="E39:AJ39"/>
    <mergeCell ref="E40:AJ40"/>
    <mergeCell ref="E41:AJ41"/>
    <mergeCell ref="B42:B45"/>
    <mergeCell ref="E42:AJ42"/>
    <mergeCell ref="E43:AJ43"/>
    <mergeCell ref="E44:AJ45"/>
    <mergeCell ref="A59:G59"/>
    <mergeCell ref="B46:B49"/>
    <mergeCell ref="E46:AJ46"/>
    <mergeCell ref="E47:AJ47"/>
    <mergeCell ref="E48:AJ49"/>
    <mergeCell ref="B50:B53"/>
    <mergeCell ref="E50:AJ50"/>
    <mergeCell ref="E51:AJ51"/>
    <mergeCell ref="E52:AJ52"/>
    <mergeCell ref="A55:A58"/>
    <mergeCell ref="B55:B58"/>
    <mergeCell ref="C55:C58"/>
    <mergeCell ref="D55:D58"/>
    <mergeCell ref="E55:AJ58"/>
  </mergeCells>
  <pageMargins left="0.7" right="0.7" top="0.75" bottom="0.75" header="0.511811023622047" footer="0.511811023622047"/>
  <pageSetup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D4"/>
  <sheetViews>
    <sheetView zoomScale="90" zoomScaleNormal="90" workbookViewId="0">
      <selection activeCell="D15" sqref="D15"/>
    </sheetView>
  </sheetViews>
  <sheetFormatPr defaultColWidth="8.3828125" defaultRowHeight="15.5"/>
  <cols>
    <col min="2" max="2" width="25.69140625" style="1" customWidth="1"/>
    <col min="3" max="3" width="19.53515625" style="1" customWidth="1"/>
    <col min="4" max="4" width="81.84375" style="1" customWidth="1"/>
  </cols>
  <sheetData>
    <row r="2" spans="2:4">
      <c r="B2" s="13" t="s">
        <v>26</v>
      </c>
      <c r="C2" s="13" t="s">
        <v>27</v>
      </c>
      <c r="D2" s="13" t="s">
        <v>28</v>
      </c>
    </row>
    <row r="3" spans="2:4">
      <c r="B3" s="14" t="s">
        <v>29</v>
      </c>
      <c r="C3" s="14" t="s">
        <v>30</v>
      </c>
      <c r="D3" s="14" t="s">
        <v>31</v>
      </c>
    </row>
    <row r="4" spans="2:4">
      <c r="B4" s="14" t="s">
        <v>32</v>
      </c>
      <c r="C4" s="14" t="s">
        <v>33</v>
      </c>
      <c r="D4" s="14" t="s">
        <v>34</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Roman,Regular"&amp;A</oddHeader>
    <oddFooter>&amp;C&amp;"Times New Roman,Regular"Page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Flash layout</vt:lpstr>
      <vt:lpstr>IFR0</vt:lpstr>
      <vt:lpstr>IFR1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Sumeet Dalal</cp:lastModifiedBy>
  <cp:revision>115</cp:revision>
  <dcterms:created xsi:type="dcterms:W3CDTF">2017-10-20T21:55:50Z</dcterms:created>
  <dcterms:modified xsi:type="dcterms:W3CDTF">2024-11-12T12:42:04Z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
    <vt:lpwstr/>
  </property>
  <property fmtid="{D5CDD505-2E9C-101B-9397-08002B2CF9AE}" pid="3" name="ContentTypeId">
    <vt:lpwstr>0x0101002B8F69B4A5CF1049A4040302F52E379E</vt:lpwstr>
  </property>
  <property fmtid="{D5CDD505-2E9C-101B-9397-08002B2CF9AE}" pid="4" name="Doc Type">
    <vt:lpwstr/>
  </property>
  <property fmtid="{D5CDD505-2E9C-101B-9397-08002B2CF9AE}" pid="5" name="HyperlinksChanged">
    <vt:bool>false</vt:bool>
  </property>
  <property fmtid="{D5CDD505-2E9C-101B-9397-08002B2CF9AE}" pid="6" name="LinksUpToDate">
    <vt:bool>false</vt:bool>
  </property>
  <property fmtid="{D5CDD505-2E9C-101B-9397-08002B2CF9AE}" pid="7" name="Phase Gate">
    <vt:lpwstr/>
  </property>
  <property fmtid="{D5CDD505-2E9C-101B-9397-08002B2CF9AE}" pid="8" name="ScaleCrop">
    <vt:bool>false</vt:bool>
  </property>
  <property fmtid="{D5CDD505-2E9C-101B-9397-08002B2CF9AE}" pid="9" name="ShareDoc">
    <vt:bool>false</vt:bool>
  </property>
  <property fmtid="{D5CDD505-2E9C-101B-9397-08002B2CF9AE}" pid="10" name="TaxKeyword">
    <vt:lpwstr/>
  </property>
  <property fmtid="{D5CDD505-2E9C-101B-9397-08002B2CF9AE}" pid="11" name="Team Role">
    <vt:lpwstr>11;#Systems|4582c4fc-1ebc-4b3c-836f-f9ed615808d9</vt:lpwstr>
  </property>
  <property fmtid="{D5CDD505-2E9C-101B-9397-08002B2CF9AE}" pid="12" name="iCAP">
    <vt:lpwstr>1;#COMPANY INTERNAL|fba6ddd2-c0d6-406a-843f-19fb8f95d116</vt:lpwstr>
  </property>
</Properties>
</file>